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GPA" sheetId="1" state="visible" r:id="rId1"/>
    <sheet xmlns:r="http://schemas.openxmlformats.org/officeDocument/2006/relationships" name="CSN305" sheetId="2" state="visible" r:id="rId2"/>
    <sheet xmlns:r="http://schemas.openxmlformats.org/officeDocument/2006/relationships" name="DAT330" sheetId="3" state="visible" r:id="rId3"/>
    <sheet xmlns:r="http://schemas.openxmlformats.org/officeDocument/2006/relationships" name="MST300" sheetId="4" state="visible" r:id="rId4"/>
    <sheet xmlns:r="http://schemas.openxmlformats.org/officeDocument/2006/relationships" name="PSY262" sheetId="5" state="visible" r:id="rId5"/>
    <sheet xmlns:r="http://schemas.openxmlformats.org/officeDocument/2006/relationships" name="SEC320" sheetId="6" state="visible" r:id="rId6"/>
    <sheet xmlns:r="http://schemas.openxmlformats.org/officeDocument/2006/relationships" name="OPS345" sheetId="7" state="visible" r:id="rId7"/>
    <sheet xmlns:r="http://schemas.openxmlformats.org/officeDocument/2006/relationships" name="WTP100" sheetId="8" state="visible" r:id="rId8"/>
    <sheet xmlns:r="http://schemas.openxmlformats.org/officeDocument/2006/relationships" name="What-If Simulator" sheetId="9" state="visible" r:id="rId9"/>
    <sheet xmlns:r="http://schemas.openxmlformats.org/officeDocument/2006/relationships" name="Timeline &amp; Mileston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10"/>
    </font>
    <font>
      <name val="Calibri"/>
      <i val="1"/>
      <color rgb="00475569"/>
      <sz val="9"/>
    </font>
    <font>
      <name val="Calibri"/>
      <b val="1"/>
      <color rgb="00475569"/>
      <sz val="9"/>
    </font>
    <font>
      <name val="Calibri"/>
      <b val="1"/>
      <color rgb="000F172A"/>
      <sz val="11"/>
    </font>
    <font>
      <name val="Calibri"/>
      <b val="1"/>
      <color rgb="00FFFFFF"/>
      <sz val="11"/>
    </font>
    <font>
      <name val="Calibri"/>
      <color rgb="001E293B"/>
      <sz val="11"/>
    </font>
    <font>
      <name val="Calibri"/>
      <b val="1"/>
      <color rgb="0064748B"/>
      <sz val="9"/>
    </font>
    <font>
      <name val="Calibri"/>
      <b val="1"/>
      <color rgb="000F172A"/>
      <sz val="18"/>
    </font>
    <font>
      <name val="Calibri"/>
      <b val="1"/>
      <color rgb="00166534"/>
      <sz val="11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DCFCE7"/>
        <bgColor rgb="00DCFCE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8" fillId="0" borderId="0" pivotButton="0" quotePrefix="0" xfId="0"/>
    <xf numFmtId="2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165" fontId="9" fillId="0" borderId="0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  <xf numFmtId="0" fontId="6" fillId="4" borderId="0" pivotButton="0" quotePrefix="0" xfId="0"/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165" fontId="5" fillId="0" borderId="1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/>
    </xf>
    <xf numFmtId="164" fontId="5" fillId="3" borderId="1" applyAlignment="1" pivotButton="0" quotePrefix="0" xfId="0">
      <alignment horizontal="center"/>
    </xf>
    <xf numFmtId="10" fontId="5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5" fillId="0" borderId="1" applyAlignment="1" pivotButton="0" quotePrefix="0" xfId="0">
      <alignment horizontal="right"/>
    </xf>
    <xf numFmtId="10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7" fillId="0" borderId="1" pivotButton="0" quotePrefix="0" xfId="0"/>
    <xf numFmtId="10" fontId="7" fillId="0" borderId="1" pivotButton="0" quotePrefix="0" xfId="0"/>
    <xf numFmtId="164" fontId="5" fillId="0" borderId="1" pivotButton="0" quotePrefix="0" xfId="0"/>
    <xf numFmtId="0" fontId="1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"/>
  <sheetViews>
    <sheetView showGridLines="1" workbookViewId="0">
      <selection activeCell="A1" sqref="A1"/>
    </sheetView>
  </sheetViews>
  <sheetFormatPr baseColWidth="8" defaultRowHeight="15"/>
  <cols>
    <col width="99" customWidth="1" min="1" max="1"/>
    <col width="48" customWidth="1" min="2" max="2"/>
    <col width="99" customWidth="1" min="3" max="3"/>
    <col width="18" customWidth="1" min="4" max="4"/>
    <col width="90" customWidth="1" min="5" max="5"/>
    <col width="17" customWidth="1" min="6" max="6"/>
    <col width="76" customWidth="1" min="7" max="7"/>
    <col width="167" customWidth="1" min="8" max="8"/>
    <col width="174" customWidth="1" min="9" max="9"/>
    <col width="17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Seneca Polytechnic - CTY Semester 3 Grade Dashboard</t>
        </is>
      </c>
    </row>
    <row r="2">
      <c r="A2" s="2" t="inlineStr">
        <is>
          <t>Automated Academic Performance, Hurdle Monitoring &amp; Seneca 4.0 GPA Calculator</t>
        </is>
      </c>
    </row>
    <row r="3"/>
    <row r="4">
      <c r="A4" s="3" t="inlineStr">
        <is>
          <t>Cumulative Semester GPA</t>
        </is>
      </c>
      <c r="C4" s="3" t="inlineStr">
        <is>
          <t>Projected Semester GPA</t>
        </is>
      </c>
      <c r="E4" s="3" t="inlineStr">
        <is>
          <t>Current Overall Average</t>
        </is>
      </c>
      <c r="G4" s="3" t="inlineStr">
        <is>
          <t>Technical Course Average</t>
        </is>
      </c>
      <c r="I4" s="3" t="inlineStr">
        <is>
          <t>Total Credits</t>
        </is>
      </c>
    </row>
    <row r="5">
      <c r="A5" s="4">
        <f>ROUND(((I9*C9)+(I10*C10)+(I11*C11)+(I12*C12)+(I13*C13)+(I14*C14))/(C9+C10+C11+C12+C13+C14), 2)</f>
        <v/>
      </c>
      <c r="C5" s="4">
        <f>ROUND(((I9*C9)+(I10*C10)+(I11*C11)+(I12*C12)+(I13*C13)+(I14*C14))/(C9+C10+C11+C12+C13+C14), 2)</f>
        <v/>
      </c>
      <c r="E5" s="5">
        <f>((F9*C9)+(F10*C10)+(F11*C11)+(F12*C12)+(F13*C13)+(F14*C14))/(C9+C10+C11+C12+C13+C14)</f>
        <v/>
      </c>
      <c r="G5" s="5">
        <f>((F9*C9)+(F10*C10)+(F11*C11)+(F13*C13)+(F14*C14))/(C9+C10+C11+C13+C14)</f>
        <v/>
      </c>
      <c r="I5" s="6">
        <f>SUM(C9:C15)</f>
        <v/>
      </c>
    </row>
    <row r="6"/>
    <row r="7"/>
    <row r="8">
      <c r="A8" s="7" t="inlineStr">
        <is>
          <t>Course Code</t>
        </is>
      </c>
      <c r="B8" s="7" t="inlineStr">
        <is>
          <t>Course Name</t>
        </is>
      </c>
      <c r="C8" s="7" t="inlineStr">
        <is>
          <t>Credits</t>
        </is>
      </c>
      <c r="D8" s="7" t="inlineStr">
        <is>
          <t>Course Type</t>
        </is>
      </c>
      <c r="E8" s="7" t="inlineStr">
        <is>
          <t>Completed %</t>
        </is>
      </c>
      <c r="F8" s="7" t="inlineStr">
        <is>
          <t>Current Avg %</t>
        </is>
      </c>
      <c r="G8" s="7" t="inlineStr">
        <is>
          <t>Projected Final %</t>
        </is>
      </c>
      <c r="H8" s="7" t="inlineStr">
        <is>
          <t>Letter Grade</t>
        </is>
      </c>
      <c r="I8" s="7" t="inlineStr">
        <is>
          <t>GPA Points</t>
        </is>
      </c>
      <c r="J8" s="7" t="inlineStr">
        <is>
          <t>Hurdle Status</t>
        </is>
      </c>
      <c r="L8" s="8" t="inlineStr">
        <is>
          <t>Grade</t>
        </is>
      </c>
      <c r="M8" s="8" t="inlineStr">
        <is>
          <t>GPA</t>
        </is>
      </c>
    </row>
    <row r="9">
      <c r="A9" s="9" t="inlineStr">
        <is>
          <t>CSN305</t>
        </is>
      </c>
      <c r="B9" s="10" t="inlineStr">
        <is>
          <t>Virtualization and Cloud Infrastructure</t>
        </is>
      </c>
      <c r="C9" s="11" t="n">
        <v>3</v>
      </c>
      <c r="D9" s="10" t="inlineStr">
        <is>
          <t>Technical Core</t>
        </is>
      </c>
      <c r="E9" s="12">
        <f>CSN305!C5</f>
        <v/>
      </c>
      <c r="F9" s="13">
        <f>CSN305!G5</f>
        <v/>
      </c>
      <c r="G9" s="13">
        <f>CSN305!I5</f>
        <v/>
      </c>
      <c r="H9" s="14">
        <f>IF(G9&gt;=0.9, "A+", IF(G9&gt;=0.8, "A", IF(G9&gt;=0.75, "B+", IF(G9&gt;=0.7, "B", IF(G9&gt;=0.65, "C+", IF(G9&gt;=0.6, "C", IF(G9&gt;=0.55, "D+", IF(G9&gt;=0.5, "D", "F"))))))))</f>
        <v/>
      </c>
      <c r="I9" s="15">
        <f>IF(H9="A+", 4.0, IF(H9="A", 4.0, IF(H9="B+", 3.5, IF(H9="B", 3.0, IF(H9="C+", 2.5, IF(H9="C", 2.0, IF(H9="D+", 1.5, IF(H9="D", 1.0, IF(H9="F", 0.0, 0.0)))))))))</f>
        <v/>
      </c>
      <c r="J9" s="14">
        <f>CSN305!K5</f>
        <v/>
      </c>
      <c r="L9" s="10" t="inlineStr">
        <is>
          <t>A+ (90% - 100%)</t>
        </is>
      </c>
      <c r="M9" s="16" t="n">
        <v>4</v>
      </c>
    </row>
    <row r="10">
      <c r="A10" s="9" t="inlineStr">
        <is>
          <t>DAT330</t>
        </is>
      </c>
      <c r="B10" s="10" t="inlineStr">
        <is>
          <t>Introduction to Databases</t>
        </is>
      </c>
      <c r="C10" s="11" t="n">
        <v>3</v>
      </c>
      <c r="D10" s="10" t="inlineStr">
        <is>
          <t>Technical Core</t>
        </is>
      </c>
      <c r="E10" s="12">
        <f>DAT330!C5</f>
        <v/>
      </c>
      <c r="F10" s="13">
        <f>DAT330!G5</f>
        <v/>
      </c>
      <c r="G10" s="13">
        <f>DAT330!I5</f>
        <v/>
      </c>
      <c r="H10" s="14">
        <f>IF(G10&gt;=0.9, "A+", IF(G10&gt;=0.8, "A", IF(G10&gt;=0.75, "B+", IF(G10&gt;=0.7, "B", IF(G10&gt;=0.65, "C+", IF(G10&gt;=0.6, "C", IF(G10&gt;=0.55, "D+", IF(G10&gt;=0.5, "D", "F"))))))))</f>
        <v/>
      </c>
      <c r="I10" s="15">
        <f>IF(H10="A+", 4.0, IF(H10="A", 4.0, IF(H10="B+", 3.5, IF(H10="B", 3.0, IF(H10="C+", 2.5, IF(H10="C", 2.0, IF(H10="D+", 1.5, IF(H10="D", 1.0, IF(H10="F", 0.0, 0.0)))))))))</f>
        <v/>
      </c>
      <c r="J10" s="14">
        <f>DAT330!K5</f>
        <v/>
      </c>
      <c r="L10" s="10" t="inlineStr">
        <is>
          <t>A (80% - 89%)</t>
        </is>
      </c>
      <c r="M10" s="16" t="n">
        <v>4</v>
      </c>
    </row>
    <row r="11">
      <c r="A11" s="9" t="inlineStr">
        <is>
          <t>MST300</t>
        </is>
      </c>
      <c r="B11" s="10" t="inlineStr">
        <is>
          <t>Introduction to Microsoft Cloud Technologies</t>
        </is>
      </c>
      <c r="C11" s="11" t="n">
        <v>3</v>
      </c>
      <c r="D11" s="10" t="inlineStr">
        <is>
          <t>Technical Core</t>
        </is>
      </c>
      <c r="E11" s="12">
        <f>MST300!C5</f>
        <v/>
      </c>
      <c r="F11" s="13">
        <f>MST300!G5</f>
        <v/>
      </c>
      <c r="G11" s="13">
        <f>MST300!I5</f>
        <v/>
      </c>
      <c r="H11" s="14">
        <f>IF(G11&gt;=0.9, "A+", IF(G11&gt;=0.8, "A", IF(G11&gt;=0.75, "B+", IF(G11&gt;=0.7, "B", IF(G11&gt;=0.65, "C+", IF(G11&gt;=0.6, "C", IF(G11&gt;=0.55, "D+", IF(G11&gt;=0.5, "D", "F"))))))))</f>
        <v/>
      </c>
      <c r="I11" s="15">
        <f>IF(H11="A+", 4.0, IF(H11="A", 4.0, IF(H11="B+", 3.5, IF(H11="B", 3.0, IF(H11="C+", 2.5, IF(H11="C", 2.0, IF(H11="D+", 1.5, IF(H11="D", 1.0, IF(H11="F", 0.0, 0.0)))))))))</f>
        <v/>
      </c>
      <c r="J11" s="14">
        <f>MST300!K5</f>
        <v/>
      </c>
      <c r="L11" s="10" t="inlineStr">
        <is>
          <t>B+ (75% - 79%)</t>
        </is>
      </c>
      <c r="M11" s="16" t="n">
        <v>3.5</v>
      </c>
    </row>
    <row r="12">
      <c r="A12" s="9" t="inlineStr">
        <is>
          <t>PSY262</t>
        </is>
      </c>
      <c r="B12" s="10" t="inlineStr">
        <is>
          <t>Applied Psychology of Mindfulness</t>
        </is>
      </c>
      <c r="C12" s="11" t="n">
        <v>3</v>
      </c>
      <c r="D12" s="10" t="inlineStr">
        <is>
          <t>General Ed</t>
        </is>
      </c>
      <c r="E12" s="12">
        <f>PSY262!C5</f>
        <v/>
      </c>
      <c r="F12" s="13">
        <f>PSY262!G5</f>
        <v/>
      </c>
      <c r="G12" s="13">
        <f>PSY262!I5</f>
        <v/>
      </c>
      <c r="H12" s="14">
        <f>IF(G12&gt;=0.9, "A+", IF(G12&gt;=0.8, "A", IF(G12&gt;=0.75, "B+", IF(G12&gt;=0.7, "B", IF(G12&gt;=0.65, "C+", IF(G12&gt;=0.6, "C", IF(G12&gt;=0.55, "D+", IF(G12&gt;=0.5, "D", "F"))))))))</f>
        <v/>
      </c>
      <c r="I12" s="15">
        <f>IF(H12="A+", 4.0, IF(H12="A", 4.0, IF(H12="B+", 3.5, IF(H12="B", 3.0, IF(H12="C+", 2.5, IF(H12="C", 2.0, IF(H12="D+", 1.5, IF(H12="D", 1.0, IF(H12="F", 0.0, 0.0)))))))))</f>
        <v/>
      </c>
      <c r="J12" s="14">
        <f>PSY262!K5</f>
        <v/>
      </c>
      <c r="L12" s="10" t="inlineStr">
        <is>
          <t>B (70% - 74%)</t>
        </is>
      </c>
      <c r="M12" s="16" t="n">
        <v>3</v>
      </c>
    </row>
    <row r="13">
      <c r="A13" s="9" t="inlineStr">
        <is>
          <t>SEC320</t>
        </is>
      </c>
      <c r="B13" s="10" t="inlineStr">
        <is>
          <t>Incident Response and Computer Forensics</t>
        </is>
      </c>
      <c r="C13" s="11" t="n">
        <v>3</v>
      </c>
      <c r="D13" s="10" t="inlineStr">
        <is>
          <t>Technical Core</t>
        </is>
      </c>
      <c r="E13" s="12">
        <f>SEC320!C5</f>
        <v/>
      </c>
      <c r="F13" s="13">
        <f>SEC320!G5</f>
        <v/>
      </c>
      <c r="G13" s="13">
        <f>SEC320!I5</f>
        <v/>
      </c>
      <c r="H13" s="14">
        <f>IF(G13&gt;=0.9, "A+", IF(G13&gt;=0.8, "A", IF(G13&gt;=0.75, "B+", IF(G13&gt;=0.7, "B", IF(G13&gt;=0.65, "C+", IF(G13&gt;=0.6, "C", IF(G13&gt;=0.55, "D+", IF(G13&gt;=0.5, "D", "F"))))))))</f>
        <v/>
      </c>
      <c r="I13" s="15">
        <f>IF(H13="A+", 4.0, IF(H13="A", 4.0, IF(H13="B+", 3.5, IF(H13="B", 3.0, IF(H13="C+", 2.5, IF(H13="C", 2.0, IF(H13="D+", 1.5, IF(H13="D", 1.0, IF(H13="F", 0.0, 0.0)))))))))</f>
        <v/>
      </c>
      <c r="J13" s="14">
        <f>SEC320!K5</f>
        <v/>
      </c>
      <c r="L13" s="10" t="inlineStr">
        <is>
          <t>C+ (65% - 69%)</t>
        </is>
      </c>
      <c r="M13" s="16" t="n">
        <v>2.5</v>
      </c>
    </row>
    <row r="14">
      <c r="A14" s="9" t="inlineStr">
        <is>
          <t>OPS345</t>
        </is>
      </c>
      <c r="B14" s="10" t="inlineStr">
        <is>
          <t>Open System Application Server</t>
        </is>
      </c>
      <c r="C14" s="11" t="n">
        <v>3</v>
      </c>
      <c r="D14" s="10" t="inlineStr">
        <is>
          <t>Technical Core</t>
        </is>
      </c>
      <c r="E14" s="12">
        <f>OPS345!C5</f>
        <v/>
      </c>
      <c r="F14" s="13">
        <f>OPS345!G5</f>
        <v/>
      </c>
      <c r="G14" s="13">
        <f>OPS345!I5</f>
        <v/>
      </c>
      <c r="H14" s="14">
        <f>IF(G14&gt;=0.9, "A+", IF(G14&gt;=0.8, "A", IF(G14&gt;=0.75, "B+", IF(G14&gt;=0.7, "B", IF(G14&gt;=0.65, "C+", IF(G14&gt;=0.6, "C", IF(G14&gt;=0.55, "D+", IF(G14&gt;=0.5, "D", "F"))))))))</f>
        <v/>
      </c>
      <c r="I14" s="15">
        <f>IF(H14="A+", 4.0, IF(H14="A", 4.0, IF(H14="B+", 3.5, IF(H14="B", 3.0, IF(H14="C+", 2.5, IF(H14="C", 2.0, IF(H14="D+", 1.5, IF(H14="D", 1.0, IF(H14="F", 0.0, 0.0)))))))))</f>
        <v/>
      </c>
      <c r="J14" s="14">
        <f>OPS345!K5</f>
        <v/>
      </c>
      <c r="L14" s="10" t="inlineStr">
        <is>
          <t>C (60% - 64%)</t>
        </is>
      </c>
      <c r="M14" s="16" t="n">
        <v>2</v>
      </c>
    </row>
    <row r="15">
      <c r="A15" s="9" t="inlineStr">
        <is>
          <t>WTP100</t>
        </is>
      </c>
      <c r="B15" s="10" t="inlineStr">
        <is>
          <t>Work Term Preparation</t>
        </is>
      </c>
      <c r="C15" s="11" t="n">
        <v>1</v>
      </c>
      <c r="D15" s="10" t="inlineStr">
        <is>
          <t>Co-op Prep</t>
        </is>
      </c>
      <c r="E15" s="12">
        <f>WTP100!C5</f>
        <v/>
      </c>
      <c r="F15" s="13">
        <f>WTP100!G5</f>
        <v/>
      </c>
      <c r="G15" s="13">
        <f>WTP100!I5</f>
        <v/>
      </c>
      <c r="H15" s="14">
        <f>IF(WTP100!G5&gt;=0.8, "SAT", "UN")</f>
        <v/>
      </c>
      <c r="I15" s="15" t="inlineStr">
        <is>
          <t>"N/A"</t>
        </is>
      </c>
      <c r="J15" s="14">
        <f>WTP100!K5</f>
        <v/>
      </c>
      <c r="L15" s="10" t="inlineStr">
        <is>
          <t>D+ (55% - 59%)</t>
        </is>
      </c>
      <c r="M15" s="16" t="n">
        <v>1.5</v>
      </c>
    </row>
    <row r="16">
      <c r="L16" s="10" t="inlineStr">
        <is>
          <t>D (50% - 54%)</t>
        </is>
      </c>
      <c r="M16" s="16" t="n">
        <v>1</v>
      </c>
    </row>
    <row r="17">
      <c r="L17" s="10" t="inlineStr">
        <is>
          <t>F (0% - 49%)</t>
        </is>
      </c>
      <c r="M17" s="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70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169" customWidth="1" min="11" max="11"/>
  </cols>
  <sheetData>
    <row r="1">
      <c r="A1" s="1" t="inlineStr">
        <is>
          <t>CSN305: Virtualization and Cloud Infrastructure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tests • Satisfactorily complete all labs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IF(AND(IF(SUM(C20:C23)&gt;0, IF(SUMIF(E20:E23, "&lt;&gt;", C20:C23)&gt;0, SUM(G20:G23)/SUMIF(E20:E23, "&lt;&gt;", C20:C23)&gt;=0.5,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Labs</t>
        </is>
      </c>
      <c r="B10" s="10" t="inlineStr">
        <is>
          <t>Lab 1</t>
        </is>
      </c>
      <c r="C10" s="12" t="n">
        <v>0.04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2026-09-17</t>
        </is>
      </c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2</t>
        </is>
      </c>
      <c r="C11" s="12" t="n">
        <v>0.04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2026-09-24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3</t>
        </is>
      </c>
      <c r="C12" s="12" t="n">
        <v>0.04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2026-10-01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4</t>
        </is>
      </c>
      <c r="C13" s="12" t="n">
        <v>0.04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2026-10-08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5</t>
        </is>
      </c>
      <c r="C14" s="12" t="n">
        <v>0.04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2026-10-15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6</t>
        </is>
      </c>
      <c r="C15" s="12" t="n">
        <v>0.04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2026-10-22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7</t>
        </is>
      </c>
      <c r="C16" s="12" t="n">
        <v>0.04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2026-11-12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8</t>
        </is>
      </c>
      <c r="C17" s="12" t="n">
        <v>0.04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2026-11-19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9</t>
        </is>
      </c>
      <c r="C18" s="12" t="n">
        <v>0.04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2026-12-3</t>
        </is>
      </c>
      <c r="I18" s="24" t="inlineStr">
        <is>
          <t>Not Started</t>
        </is>
      </c>
    </row>
    <row r="19">
      <c r="A19" s="10" t="inlineStr">
        <is>
          <t>Labs</t>
        </is>
      </c>
      <c r="B19" s="10" t="inlineStr">
        <is>
          <t>Lab 10</t>
        </is>
      </c>
      <c r="C19" s="12" t="n">
        <v>0.04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2026-09-17</t>
        </is>
      </c>
      <c r="I19" s="24" t="inlineStr">
        <is>
          <t>Not Started</t>
        </is>
      </c>
    </row>
    <row r="20">
      <c r="A20" s="10" t="inlineStr">
        <is>
          <t>Tests</t>
        </is>
      </c>
      <c r="B20" s="10" t="inlineStr">
        <is>
          <t>Test 1</t>
        </is>
      </c>
      <c r="C20" s="12" t="n">
        <v>0.15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2026-10-01</t>
        </is>
      </c>
      <c r="I20" s="24" t="inlineStr">
        <is>
          <t>Not Started</t>
        </is>
      </c>
    </row>
    <row r="21">
      <c r="A21" s="10" t="inlineStr">
        <is>
          <t>Tests</t>
        </is>
      </c>
      <c r="B21" s="10" t="inlineStr">
        <is>
          <t>Test 2</t>
        </is>
      </c>
      <c r="C21" s="12" t="n">
        <v>0.15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2026-10-22</t>
        </is>
      </c>
      <c r="I21" s="24" t="inlineStr">
        <is>
          <t>Not Started</t>
        </is>
      </c>
    </row>
    <row r="22">
      <c r="A22" s="10" t="inlineStr">
        <is>
          <t>Tests</t>
        </is>
      </c>
      <c r="B22" s="10" t="inlineStr">
        <is>
          <t>Test 3</t>
        </is>
      </c>
      <c r="C22" s="12" t="n">
        <v>0.15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2026-11-19</t>
        </is>
      </c>
      <c r="I22" s="24" t="inlineStr">
        <is>
          <t>Not Started</t>
        </is>
      </c>
    </row>
    <row r="23">
      <c r="A23" s="10" t="inlineStr">
        <is>
          <t>Tests</t>
        </is>
      </c>
      <c r="B23" s="10" t="inlineStr">
        <is>
          <t>Test 4</t>
        </is>
      </c>
      <c r="C23" s="12" t="n">
        <v>0.15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2026-12-10</t>
        </is>
      </c>
      <c r="I23" s="24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6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169" customWidth="1" min="11" max="11"/>
  </cols>
  <sheetData>
    <row r="1">
      <c r="A1" s="1" t="inlineStr">
        <is>
          <t>DAT330: Introduction to Databases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labs • Achieve a weighted average of 50% or higher on all tests • Achieve a weighted average of 50% or higher on assignments and project</t>
        </is>
      </c>
    </row>
    <row r="4"/>
    <row r="5">
      <c r="B5" s="18" t="inlineStr">
        <is>
          <t>Completed Weight</t>
        </is>
      </c>
      <c r="C5" s="19">
        <f>SUMIF(E10:E29, "&lt;&gt;", C10:C29)</f>
        <v/>
      </c>
      <c r="D5" s="18" t="inlineStr">
        <is>
          <t>Earned Weight</t>
        </is>
      </c>
      <c r="E5" s="20">
        <f>SUM(G10:G29)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IF(AND(IF(SUM(C11:C18)&gt;0, IF(SUMIF(E11:E18, "&lt;&gt;", C11:C18)&gt;0, SUM(G11:G18)/SUMIF(E11:E18, "&lt;&gt;", C11:C18)&gt;=0.5,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Management of Budget Allotment</t>
        </is>
      </c>
      <c r="B10" s="10" t="inlineStr">
        <is>
          <t>Budget Allotment</t>
        </is>
      </c>
      <c r="C10" s="12" t="n">
        <v>0.1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1</t>
        </is>
      </c>
      <c r="C11" s="12" t="n">
        <v>0.025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2026-09-17</t>
        </is>
      </c>
      <c r="I11" s="24" t="inlineStr">
        <is>
          <t>Done</t>
        </is>
      </c>
    </row>
    <row r="12">
      <c r="A12" s="10" t="inlineStr">
        <is>
          <t>Labs</t>
        </is>
      </c>
      <c r="B12" s="10" t="inlineStr">
        <is>
          <t>Lab 2</t>
        </is>
      </c>
      <c r="C12" s="12" t="n">
        <v>0.025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2026-09-24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3</t>
        </is>
      </c>
      <c r="C13" s="12" t="n">
        <v>0.025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2026-10-08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4</t>
        </is>
      </c>
      <c r="C14" s="12" t="n">
        <v>0.025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2026-10-15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5</t>
        </is>
      </c>
      <c r="C15" s="12" t="n">
        <v>0.025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2026-11-5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6</t>
        </is>
      </c>
      <c r="C16" s="12" t="n">
        <v>0.025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2026-11-12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7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2026-11-19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8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2026-12-3</t>
        </is>
      </c>
      <c r="I18" s="24" t="inlineStr">
        <is>
          <t>Not Started</t>
        </is>
      </c>
    </row>
    <row r="19">
      <c r="A19" s="10" t="inlineStr">
        <is>
          <t>Quizzes</t>
        </is>
      </c>
      <c r="B19" s="10" t="inlineStr">
        <is>
          <t>Quiz 1</t>
        </is>
      </c>
      <c r="C19" s="12" t="n">
        <v>0.02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2026-09-21</t>
        </is>
      </c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2</t>
        </is>
      </c>
      <c r="C20" s="12" t="n">
        <v>0.02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2026-09-28</t>
        </is>
      </c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3</t>
        </is>
      </c>
      <c r="C21" s="12" t="n">
        <v>0.02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2026-11-09</t>
        </is>
      </c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4</t>
        </is>
      </c>
      <c r="C22" s="12" t="n">
        <v>0.02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2026-11-23</t>
        </is>
      </c>
      <c r="I22" s="24" t="inlineStr">
        <is>
          <t>Not Started</t>
        </is>
      </c>
    </row>
    <row r="23">
      <c r="A23" s="10" t="inlineStr">
        <is>
          <t>Quizzes</t>
        </is>
      </c>
      <c r="B23" s="10" t="inlineStr">
        <is>
          <t>Quiz 5</t>
        </is>
      </c>
      <c r="C23" s="12" t="n">
        <v>0.02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2026-11-30</t>
        </is>
      </c>
      <c r="I23" s="24" t="inlineStr">
        <is>
          <t>Not Started</t>
        </is>
      </c>
    </row>
    <row r="24">
      <c r="A24" s="10" t="inlineStr">
        <is>
          <t>Assignments</t>
        </is>
      </c>
      <c r="B24" s="10" t="inlineStr">
        <is>
          <t>Assignment 1</t>
        </is>
      </c>
      <c r="C24" s="12" t="n">
        <v>0.05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2026-10-01</t>
        </is>
      </c>
      <c r="I24" s="24" t="inlineStr">
        <is>
          <t>Not Started</t>
        </is>
      </c>
    </row>
    <row r="25">
      <c r="A25" s="10" t="inlineStr">
        <is>
          <t>Assignments</t>
        </is>
      </c>
      <c r="B25" s="10" t="inlineStr">
        <is>
          <t>Assignment 2</t>
        </is>
      </c>
      <c r="C25" s="12" t="n">
        <v>0.05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>
        <is>
          <t>2026-10-22</t>
        </is>
      </c>
      <c r="I25" s="24" t="inlineStr">
        <is>
          <t>Not Started</t>
        </is>
      </c>
    </row>
    <row r="26">
      <c r="A26" s="10" t="inlineStr">
        <is>
          <t>Assignments</t>
        </is>
      </c>
      <c r="B26" s="10" t="inlineStr">
        <is>
          <t>Assignment 3</t>
        </is>
      </c>
      <c r="C26" s="12" t="n">
        <v>0.05</v>
      </c>
      <c r="D26" s="11" t="n">
        <v>100</v>
      </c>
      <c r="E26" s="22" t="n"/>
      <c r="F26" s="12">
        <f>IF(ISBLANK(E26), "", E26/D26)</f>
        <v/>
      </c>
      <c r="G26" s="23">
        <f>IF(ISBLANK(E26), "", F26*C26)</f>
        <v/>
      </c>
      <c r="H26" s="10" t="inlineStr">
        <is>
          <t>2026-11-26</t>
        </is>
      </c>
      <c r="I26" s="24" t="inlineStr">
        <is>
          <t>Not Started</t>
        </is>
      </c>
    </row>
    <row r="27">
      <c r="A27" s="10" t="inlineStr">
        <is>
          <t>Midterm Test</t>
        </is>
      </c>
      <c r="B27" s="10" t="inlineStr">
        <is>
          <t>Midterm Test</t>
        </is>
      </c>
      <c r="C27" s="12" t="n">
        <v>0.15</v>
      </c>
      <c r="D27" s="11" t="n">
        <v>100</v>
      </c>
      <c r="E27" s="22" t="n"/>
      <c r="F27" s="12">
        <f>IF(ISBLANK(E27), "", E27/D27)</f>
        <v/>
      </c>
      <c r="G27" s="23">
        <f>IF(ISBLANK(E27), "", F27*C27)</f>
        <v/>
      </c>
      <c r="H27" s="10" t="inlineStr">
        <is>
          <t>2026-10-19</t>
        </is>
      </c>
      <c r="I27" s="24" t="inlineStr">
        <is>
          <t>Not Started</t>
        </is>
      </c>
    </row>
    <row r="28">
      <c r="A28" s="10" t="inlineStr">
        <is>
          <t>Final Test</t>
        </is>
      </c>
      <c r="B28" s="10" t="inlineStr">
        <is>
          <t>Final Test</t>
        </is>
      </c>
      <c r="C28" s="12" t="n">
        <v>0.15</v>
      </c>
      <c r="D28" s="11" t="n">
        <v>100</v>
      </c>
      <c r="E28" s="22" t="n"/>
      <c r="F28" s="12">
        <f>IF(ISBLANK(E28), "", E28/D28)</f>
        <v/>
      </c>
      <c r="G28" s="23">
        <f>IF(ISBLANK(E28), "", F28*C28)</f>
        <v/>
      </c>
      <c r="H28" s="10" t="inlineStr"/>
      <c r="I28" s="24" t="inlineStr">
        <is>
          <t>Not Started</t>
        </is>
      </c>
    </row>
    <row r="29">
      <c r="A29" s="10" t="inlineStr">
        <is>
          <t>Final Project</t>
        </is>
      </c>
      <c r="B29" s="10" t="inlineStr">
        <is>
          <t>Final Project</t>
        </is>
      </c>
      <c r="C29" s="12" t="n">
        <v>0.15</v>
      </c>
      <c r="D29" s="11" t="n">
        <v>100</v>
      </c>
      <c r="E29" s="22" t="n"/>
      <c r="F29" s="12">
        <f>IF(ISBLANK(E29), "", E29/D29)</f>
        <v/>
      </c>
      <c r="G29" s="23">
        <f>IF(ISBLANK(E29), "", F29*C29)</f>
        <v/>
      </c>
      <c r="H29" s="10" t="inlineStr">
        <is>
          <t>2026-12-07</t>
        </is>
      </c>
      <c r="I29" s="24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96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287" customWidth="1" min="11" max="11"/>
  </cols>
  <sheetData>
    <row r="1">
      <c r="A1" s="1" t="inlineStr">
        <is>
          <t>MST300: Introduction to Microsoft Cloud Technologies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labs • Achieve a weighted average of 50% or higher on all projects</t>
        </is>
      </c>
    </row>
    <row r="4"/>
    <row r="5">
      <c r="B5" s="18" t="inlineStr">
        <is>
          <t>Completed Weight</t>
        </is>
      </c>
      <c r="C5" s="19">
        <f>SUMIF(E10:E26, "&lt;&gt;", C10:C26)</f>
        <v/>
      </c>
      <c r="D5" s="18" t="inlineStr">
        <is>
          <t>Earned Weight</t>
        </is>
      </c>
      <c r="E5" s="20">
        <f>SUM(G10:G26)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IF(AND(IF(SUM(C11:C16)&gt;0, IF(SUMIF(E11:E16, "&lt;&gt;", C11:C16)&gt;0, SUM(G11:G16)/SUMIF(E11:E16, "&lt;&gt;", C11:C16)&gt;=0.5, TRUE), TRUE), IF(SUM(C23:C24)&gt;0, IF(SUMIF(E23:E24, "&lt;&gt;", C23:C24)&gt;0, SUM(G23:G24)/SUMIF(E23:E24, "&lt;&gt;", C23:C24)&gt;=0.5,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Management of Budget Allotment</t>
        </is>
      </c>
      <c r="B10" s="10" t="inlineStr">
        <is>
          <t>Budget Allotment</t>
        </is>
      </c>
      <c r="C10" s="12" t="n">
        <v>0.1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1</t>
        </is>
      </c>
      <c r="C11" s="12" t="n">
        <v>0.0333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2026-10-13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2</t>
        </is>
      </c>
      <c r="C12" s="12" t="n">
        <v>0.0333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2026-10-6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3</t>
        </is>
      </c>
      <c r="C13" s="12" t="n">
        <v>0.0333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2026-10-6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4</t>
        </is>
      </c>
      <c r="C14" s="12" t="n">
        <v>0.0333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2026-10-6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5</t>
        </is>
      </c>
      <c r="C15" s="12" t="n">
        <v>0.0333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2026-10-6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6</t>
        </is>
      </c>
      <c r="C16" s="12" t="n">
        <v>0.0335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2026-10-6</t>
        </is>
      </c>
      <c r="I16" s="24" t="inlineStr">
        <is>
          <t>Not Started</t>
        </is>
      </c>
    </row>
    <row r="17">
      <c r="A17" s="10" t="inlineStr">
        <is>
          <t>Quizzes</t>
        </is>
      </c>
      <c r="B17" s="10" t="inlineStr">
        <is>
          <t>Quiz 1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2026-9-22</t>
        </is>
      </c>
      <c r="I17" s="24" t="inlineStr">
        <is>
          <t>Not Started</t>
        </is>
      </c>
    </row>
    <row r="18">
      <c r="A18" s="10" t="inlineStr">
        <is>
          <t>Quizzes</t>
        </is>
      </c>
      <c r="B18" s="10" t="inlineStr">
        <is>
          <t>Quiz 2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2026-10-06</t>
        </is>
      </c>
      <c r="I18" s="24" t="inlineStr">
        <is>
          <t>Not Started</t>
        </is>
      </c>
    </row>
    <row r="19">
      <c r="A19" s="10" t="inlineStr">
        <is>
          <t>Quizzes</t>
        </is>
      </c>
      <c r="B19" s="10" t="inlineStr">
        <is>
          <t>Quiz 3</t>
        </is>
      </c>
      <c r="C19" s="12" t="n">
        <v>0.025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2026-10-13</t>
        </is>
      </c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4</t>
        </is>
      </c>
      <c r="C20" s="12" t="n">
        <v>0.025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2026-11-10</t>
        </is>
      </c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5</t>
        </is>
      </c>
      <c r="C21" s="12" t="n">
        <v>0.025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2026-12-01</t>
        </is>
      </c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6</t>
        </is>
      </c>
      <c r="C22" s="12" t="n">
        <v>0.025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2026-12-08</t>
        </is>
      </c>
      <c r="I22" s="24" t="inlineStr">
        <is>
          <t>Not Started</t>
        </is>
      </c>
    </row>
    <row r="23">
      <c r="A23" s="10" t="inlineStr">
        <is>
          <t>Projects</t>
        </is>
      </c>
      <c r="B23" s="10" t="inlineStr">
        <is>
          <t>Project 1</t>
        </is>
      </c>
      <c r="C23" s="12" t="n">
        <v>0.15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2026-11-03</t>
        </is>
      </c>
      <c r="I23" s="24" t="inlineStr">
        <is>
          <t>Not Started</t>
        </is>
      </c>
    </row>
    <row r="24">
      <c r="A24" s="10" t="inlineStr">
        <is>
          <t>Projects</t>
        </is>
      </c>
      <c r="B24" s="10" t="inlineStr">
        <is>
          <t>Project 2</t>
        </is>
      </c>
      <c r="C24" s="12" t="n">
        <v>0.15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2026-12-08</t>
        </is>
      </c>
      <c r="I24" s="24" t="inlineStr">
        <is>
          <t>Not Started</t>
        </is>
      </c>
    </row>
    <row r="25">
      <c r="A25" s="10" t="inlineStr">
        <is>
          <t>Tests</t>
        </is>
      </c>
      <c r="B25" s="10" t="inlineStr">
        <is>
          <t>Midterm Test</t>
        </is>
      </c>
      <c r="C25" s="12" t="n">
        <v>0.1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/>
      <c r="I25" s="24" t="inlineStr">
        <is>
          <t>Not Started</t>
        </is>
      </c>
    </row>
    <row r="26">
      <c r="A26" s="10" t="inlineStr">
        <is>
          <t>Tests</t>
        </is>
      </c>
      <c r="B26" s="10" t="inlineStr">
        <is>
          <t>Final Test</t>
        </is>
      </c>
      <c r="C26" s="12" t="n">
        <v>0.15</v>
      </c>
      <c r="D26" s="11" t="n">
        <v>100</v>
      </c>
      <c r="E26" s="22" t="n"/>
      <c r="F26" s="12">
        <f>IF(ISBLANK(E26), "", E26/D26)</f>
        <v/>
      </c>
      <c r="G26" s="23">
        <f>IF(ISBLANK(E26), "", F26*C26)</f>
        <v/>
      </c>
      <c r="H26" s="10" t="inlineStr"/>
      <c r="I26" s="24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83" customWidth="1" min="1" max="1"/>
    <col width="22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PSY262: Applied Psychology of Mindfulness</t>
        </is>
      </c>
    </row>
    <row r="2">
      <c r="A2" s="2" t="inlineStr">
        <is>
          <t>Credits: 3.0  |  Classification: General Elective  |  Grading Scale: Seneca 4.0</t>
        </is>
      </c>
    </row>
    <row r="3">
      <c r="A3" s="17" t="inlineStr">
        <is>
          <t>Passing Criteria: Achieve a grade of 50% or higher in the overall course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In-Class Assignments</t>
        </is>
      </c>
      <c r="B10" s="10" t="inlineStr">
        <is>
          <t>Assignment 1</t>
        </is>
      </c>
      <c r="C10" s="12" t="n">
        <v>0.025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2026-9-18</t>
        </is>
      </c>
      <c r="I10" s="24" t="inlineStr">
        <is>
          <t>Not Started</t>
        </is>
      </c>
    </row>
    <row r="11">
      <c r="A11" s="10" t="inlineStr">
        <is>
          <t>In-Class Assignments</t>
        </is>
      </c>
      <c r="B11" s="10" t="inlineStr">
        <is>
          <t>Assignment 2</t>
        </is>
      </c>
      <c r="C11" s="12" t="n">
        <v>0.025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2026-9-18</t>
        </is>
      </c>
      <c r="I11" s="24" t="inlineStr">
        <is>
          <t>Not Started</t>
        </is>
      </c>
    </row>
    <row r="12">
      <c r="A12" s="10" t="inlineStr">
        <is>
          <t>In-Class Assignments</t>
        </is>
      </c>
      <c r="B12" s="10" t="inlineStr">
        <is>
          <t>Assignment 3</t>
        </is>
      </c>
      <c r="C12" s="12" t="n">
        <v>0.025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2026-9-25</t>
        </is>
      </c>
      <c r="I12" s="24" t="inlineStr">
        <is>
          <t>Not Started</t>
        </is>
      </c>
    </row>
    <row r="13">
      <c r="A13" s="10" t="inlineStr">
        <is>
          <t>In-Class Assignments</t>
        </is>
      </c>
      <c r="B13" s="10" t="inlineStr">
        <is>
          <t>Assignment 4</t>
        </is>
      </c>
      <c r="C13" s="12" t="n">
        <v>0.025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2026-10-02</t>
        </is>
      </c>
      <c r="I13" s="24" t="inlineStr">
        <is>
          <t>Not Started</t>
        </is>
      </c>
    </row>
    <row r="14">
      <c r="A14" s="10" t="inlineStr">
        <is>
          <t>In-Class Assignments</t>
        </is>
      </c>
      <c r="B14" s="10" t="inlineStr">
        <is>
          <t>Assignment 5</t>
        </is>
      </c>
      <c r="C14" s="12" t="n">
        <v>0.025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2026-10-09</t>
        </is>
      </c>
      <c r="I14" s="24" t="inlineStr">
        <is>
          <t>Not Started</t>
        </is>
      </c>
    </row>
    <row r="15">
      <c r="A15" s="10" t="inlineStr">
        <is>
          <t>In-Class Assignments</t>
        </is>
      </c>
      <c r="B15" s="10" t="inlineStr">
        <is>
          <t>Assignment 6</t>
        </is>
      </c>
      <c r="C15" s="12" t="n">
        <v>0.025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2026-10-09</t>
        </is>
      </c>
      <c r="I15" s="24" t="inlineStr">
        <is>
          <t>Not Started</t>
        </is>
      </c>
    </row>
    <row r="16">
      <c r="A16" s="10" t="inlineStr">
        <is>
          <t>In-Class Assignments</t>
        </is>
      </c>
      <c r="B16" s="10" t="inlineStr">
        <is>
          <t>Assignment 7</t>
        </is>
      </c>
      <c r="C16" s="12" t="n">
        <v>0.025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2026-10-16</t>
        </is>
      </c>
      <c r="I16" s="24" t="inlineStr">
        <is>
          <t>Not Started</t>
        </is>
      </c>
    </row>
    <row r="17">
      <c r="A17" s="10" t="inlineStr">
        <is>
          <t>In-Class Assignments</t>
        </is>
      </c>
      <c r="B17" s="10" t="inlineStr">
        <is>
          <t>Assignment 8</t>
        </is>
      </c>
      <c r="C17" s="12" t="n">
        <v>0.025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2026-10-23</t>
        </is>
      </c>
      <c r="I17" s="24" t="inlineStr">
        <is>
          <t>Not Started</t>
        </is>
      </c>
    </row>
    <row r="18">
      <c r="A18" s="10" t="inlineStr">
        <is>
          <t>In-Class Assignments</t>
        </is>
      </c>
      <c r="B18" s="10" t="inlineStr">
        <is>
          <t>Assignment 9</t>
        </is>
      </c>
      <c r="C18" s="12" t="n">
        <v>0.025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2026-10-23</t>
        </is>
      </c>
      <c r="I18" s="24" t="inlineStr">
        <is>
          <t>Not Started</t>
        </is>
      </c>
    </row>
    <row r="19">
      <c r="A19" s="10" t="inlineStr">
        <is>
          <t>In-Class Assignments</t>
        </is>
      </c>
      <c r="B19" s="10" t="inlineStr">
        <is>
          <t>Assignment 10</t>
        </is>
      </c>
      <c r="C19" s="12" t="n">
        <v>0.025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2026-9-18</t>
        </is>
      </c>
      <c r="I19" s="24" t="inlineStr">
        <is>
          <t>Not Started</t>
        </is>
      </c>
    </row>
    <row r="20">
      <c r="A20" s="10" t="inlineStr">
        <is>
          <t>Writing Assignment</t>
        </is>
      </c>
      <c r="B20" s="10" t="inlineStr">
        <is>
          <t>Writing Assignment</t>
        </is>
      </c>
      <c r="C20" s="12" t="n">
        <v>0.1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/>
      <c r="I20" s="24" t="inlineStr">
        <is>
          <t>Not Started</t>
        </is>
      </c>
    </row>
    <row r="21">
      <c r="A21" s="10" t="inlineStr">
        <is>
          <t>Quiz 1</t>
        </is>
      </c>
      <c r="B21" s="10" t="inlineStr">
        <is>
          <t>Quiz 1</t>
        </is>
      </c>
      <c r="C21" s="12" t="n">
        <v>0.2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2026-10-02</t>
        </is>
      </c>
      <c r="I21" s="24" t="inlineStr">
        <is>
          <t>Not Started</t>
        </is>
      </c>
    </row>
    <row r="22">
      <c r="A22" s="10" t="inlineStr">
        <is>
          <t>Quiz 2</t>
        </is>
      </c>
      <c r="B22" s="10" t="inlineStr">
        <is>
          <t>Quiz 2</t>
        </is>
      </c>
      <c r="C22" s="12" t="n">
        <v>0.2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2026-11-06</t>
        </is>
      </c>
      <c r="I22" s="24" t="inlineStr">
        <is>
          <t>Not Started</t>
        </is>
      </c>
    </row>
    <row r="23">
      <c r="A23" s="10" t="inlineStr">
        <is>
          <t>Final Exam</t>
        </is>
      </c>
      <c r="B23" s="10" t="inlineStr">
        <is>
          <t>Final Exam</t>
        </is>
      </c>
      <c r="C23" s="12" t="n">
        <v>0.25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2026-12-11</t>
        </is>
      </c>
      <c r="I23" s="24" t="inlineStr">
        <is>
          <t>Not Started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4" customWidth="1" min="1" max="1"/>
    <col width="24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287" customWidth="1" min="11" max="11"/>
  </cols>
  <sheetData>
    <row r="1">
      <c r="A1" s="1" t="inlineStr">
        <is>
          <t>SEC320: Incident Response and Computer Forensics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 • Achieve a weighted average of 50% or higher on all tests • Achieve a weighted average of 50% or higher on all labs • Satisfactorily complete all labs and assignments</t>
        </is>
      </c>
    </row>
    <row r="4"/>
    <row r="5">
      <c r="B5" s="18" t="inlineStr">
        <is>
          <t>Completed Weight</t>
        </is>
      </c>
      <c r="C5" s="19">
        <f>SUMIF(E10:E24, "&lt;&gt;", C10:C24)</f>
        <v/>
      </c>
      <c r="D5" s="18" t="inlineStr">
        <is>
          <t>Earned Weight</t>
        </is>
      </c>
      <c r="E5" s="20">
        <f>SUM(G10:G24)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IF(AND(IF(SUM(C10:C11)&gt;0, IF(SUMIF(E10:E11, "&lt;&gt;", C10:C11)&gt;0, SUM(G10:G11)/SUMIF(E10:E11, "&lt;&gt;", C10:C11)&gt;=0.5, TRUE), TRUE), IF(SUM(C12:C21)&gt;0, IF(SUMIF(E12:E21, "&lt;&gt;", C12:C21)&gt;0, SUM(G12:G21)/SUMIF(E12:E21, "&lt;&gt;", C12:C21)&gt;=0.5, TRUE), TRUE)), "PASSED", "WARNING: BELOW 50% HURDLE")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Practical Tests</t>
        </is>
      </c>
      <c r="B10" s="10" t="inlineStr">
        <is>
          <t>Practical Test 1</t>
        </is>
      </c>
      <c r="C10" s="12" t="n">
        <v>0.15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/>
      <c r="I10" s="24" t="inlineStr">
        <is>
          <t>Not Started</t>
        </is>
      </c>
    </row>
    <row r="11">
      <c r="A11" s="10" t="inlineStr">
        <is>
          <t>Practical Tests</t>
        </is>
      </c>
      <c r="B11" s="10" t="inlineStr">
        <is>
          <t>Practical Test 2</t>
        </is>
      </c>
      <c r="C11" s="12" t="n">
        <v>0.15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/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1</t>
        </is>
      </c>
      <c r="C12" s="12" t="n">
        <v>0.04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2026-9-18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2</t>
        </is>
      </c>
      <c r="C13" s="12" t="n">
        <v>0.04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2026-9-25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3</t>
        </is>
      </c>
      <c r="C14" s="12" t="n">
        <v>0.04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2026-10-2</t>
        </is>
      </c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4</t>
        </is>
      </c>
      <c r="C15" s="12" t="n">
        <v>0.04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2026-10-09</t>
        </is>
      </c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5</t>
        </is>
      </c>
      <c r="C16" s="12" t="n">
        <v>0.04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2026-10-16</t>
        </is>
      </c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6</t>
        </is>
      </c>
      <c r="C17" s="12" t="n">
        <v>0.04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2026-11-06</t>
        </is>
      </c>
      <c r="I17" s="24" t="inlineStr">
        <is>
          <t>Not Started</t>
        </is>
      </c>
    </row>
    <row r="18">
      <c r="A18" s="10" t="inlineStr">
        <is>
          <t>Labs</t>
        </is>
      </c>
      <c r="B18" s="10" t="inlineStr">
        <is>
          <t>Lab 7</t>
        </is>
      </c>
      <c r="C18" s="12" t="n">
        <v>0.04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2026-11-13</t>
        </is>
      </c>
      <c r="I18" s="24" t="inlineStr">
        <is>
          <t>Not Started</t>
        </is>
      </c>
    </row>
    <row r="19">
      <c r="A19" s="10" t="inlineStr">
        <is>
          <t>Labs</t>
        </is>
      </c>
      <c r="B19" s="10" t="inlineStr">
        <is>
          <t>Lab 8</t>
        </is>
      </c>
      <c r="C19" s="12" t="n">
        <v>0.04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2026-11-20</t>
        </is>
      </c>
      <c r="I19" s="24" t="inlineStr">
        <is>
          <t>Not Started</t>
        </is>
      </c>
    </row>
    <row r="20">
      <c r="A20" s="10" t="inlineStr">
        <is>
          <t>Labs</t>
        </is>
      </c>
      <c r="B20" s="10" t="inlineStr">
        <is>
          <t>Lab 9</t>
        </is>
      </c>
      <c r="C20" s="12" t="n">
        <v>0.04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2026-11-27</t>
        </is>
      </c>
      <c r="I20" s="24" t="inlineStr">
        <is>
          <t>Not Started</t>
        </is>
      </c>
    </row>
    <row r="21">
      <c r="A21" s="10" t="inlineStr">
        <is>
          <t>Labs</t>
        </is>
      </c>
      <c r="B21" s="10" t="inlineStr">
        <is>
          <t>Lab 10</t>
        </is>
      </c>
      <c r="C21" s="12" t="n">
        <v>0.04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2026-9-18</t>
        </is>
      </c>
      <c r="I21" s="24" t="inlineStr">
        <is>
          <t>Not Started</t>
        </is>
      </c>
    </row>
    <row r="22">
      <c r="A22" s="10" t="inlineStr">
        <is>
          <t>Final Project</t>
        </is>
      </c>
      <c r="B22" s="10" t="inlineStr">
        <is>
          <t>Project Proposal</t>
        </is>
      </c>
      <c r="C22" s="12" t="n">
        <v>0.05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2026-10-23</t>
        </is>
      </c>
      <c r="I22" s="24" t="inlineStr">
        <is>
          <t>Not Started</t>
        </is>
      </c>
    </row>
    <row r="23">
      <c r="A23" s="10" t="inlineStr">
        <is>
          <t>Final Project</t>
        </is>
      </c>
      <c r="B23" s="10" t="inlineStr">
        <is>
          <t>Project Presentation</t>
        </is>
      </c>
      <c r="C23" s="12" t="n">
        <v>0.1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2026-11-30</t>
        </is>
      </c>
      <c r="I23" s="24" t="inlineStr">
        <is>
          <t>Not Started</t>
        </is>
      </c>
    </row>
    <row r="24">
      <c r="A24" s="10" t="inlineStr">
        <is>
          <t>Final Project</t>
        </is>
      </c>
      <c r="B24" s="10" t="inlineStr">
        <is>
          <t>Final Report</t>
        </is>
      </c>
      <c r="C24" s="12" t="n">
        <v>0.15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/>
      <c r="I24" s="24" t="inlineStr">
        <is>
          <t>Not Started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1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OPS345: Open System Application Server</t>
        </is>
      </c>
    </row>
    <row r="2">
      <c r="A2" s="2" t="inlineStr">
        <is>
          <t>Credits: 3.0  |  Classification: Technical Computing Core  |  Grading Scale: Seneca 4.0</t>
        </is>
      </c>
    </row>
    <row r="3">
      <c r="A3" s="17" t="inlineStr">
        <is>
          <t>Passing Criteria: Achieve a grade of 50% or higher in the overall course</t>
        </is>
      </c>
    </row>
    <row r="4"/>
    <row r="5">
      <c r="B5" s="18" t="inlineStr">
        <is>
          <t>Completed Weight</t>
        </is>
      </c>
      <c r="C5" s="19">
        <f>SUMIF(E10:E25, "&lt;&gt;", C10:C25)</f>
        <v/>
      </c>
      <c r="D5" s="18" t="inlineStr">
        <is>
          <t>Earned Weight</t>
        </is>
      </c>
      <c r="E5" s="20">
        <f>SUM(G10:G25)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Labs</t>
        </is>
      </c>
      <c r="B10" s="10" t="inlineStr">
        <is>
          <t>Lab 1</t>
        </is>
      </c>
      <c r="C10" s="12" t="n">
        <v>0.02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2026-10-23</t>
        </is>
      </c>
      <c r="I10" s="24" t="inlineStr">
        <is>
          <t>Not Started</t>
        </is>
      </c>
    </row>
    <row r="11">
      <c r="A11" s="10" t="inlineStr">
        <is>
          <t>Labs</t>
        </is>
      </c>
      <c r="B11" s="10" t="inlineStr">
        <is>
          <t>Lab 2</t>
        </is>
      </c>
      <c r="C11" s="12" t="n">
        <v>0.02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2026-10-23</t>
        </is>
      </c>
      <c r="I11" s="24" t="inlineStr">
        <is>
          <t>Not Started</t>
        </is>
      </c>
    </row>
    <row r="12">
      <c r="A12" s="10" t="inlineStr">
        <is>
          <t>Labs</t>
        </is>
      </c>
      <c r="B12" s="10" t="inlineStr">
        <is>
          <t>Lab 3</t>
        </is>
      </c>
      <c r="C12" s="12" t="n">
        <v>0.02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2026-10-23</t>
        </is>
      </c>
      <c r="I12" s="24" t="inlineStr">
        <is>
          <t>Not Started</t>
        </is>
      </c>
    </row>
    <row r="13">
      <c r="A13" s="10" t="inlineStr">
        <is>
          <t>Labs</t>
        </is>
      </c>
      <c r="B13" s="10" t="inlineStr">
        <is>
          <t>Lab 4</t>
        </is>
      </c>
      <c r="C13" s="12" t="n">
        <v>0.02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2026-10-23</t>
        </is>
      </c>
      <c r="I13" s="24" t="inlineStr">
        <is>
          <t>Not Started</t>
        </is>
      </c>
    </row>
    <row r="14">
      <c r="A14" s="10" t="inlineStr">
        <is>
          <t>Labs</t>
        </is>
      </c>
      <c r="B14" s="10" t="inlineStr">
        <is>
          <t>Lab 5</t>
        </is>
      </c>
      <c r="C14" s="12" t="n">
        <v>0.02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/>
      <c r="I14" s="24" t="inlineStr">
        <is>
          <t>Not Started</t>
        </is>
      </c>
    </row>
    <row r="15">
      <c r="A15" s="10" t="inlineStr">
        <is>
          <t>Labs</t>
        </is>
      </c>
      <c r="B15" s="10" t="inlineStr">
        <is>
          <t>Lab 6</t>
        </is>
      </c>
      <c r="C15" s="12" t="n">
        <v>0.02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/>
      <c r="I15" s="24" t="inlineStr">
        <is>
          <t>Not Started</t>
        </is>
      </c>
    </row>
    <row r="16">
      <c r="A16" s="10" t="inlineStr">
        <is>
          <t>Labs</t>
        </is>
      </c>
      <c r="B16" s="10" t="inlineStr">
        <is>
          <t>Lab 7</t>
        </is>
      </c>
      <c r="C16" s="12" t="n">
        <v>0.02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/>
      <c r="I16" s="24" t="inlineStr">
        <is>
          <t>Not Started</t>
        </is>
      </c>
    </row>
    <row r="17">
      <c r="A17" s="10" t="inlineStr">
        <is>
          <t>Labs</t>
        </is>
      </c>
      <c r="B17" s="10" t="inlineStr">
        <is>
          <t>Lab 8</t>
        </is>
      </c>
      <c r="C17" s="12" t="n">
        <v>0.02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/>
      <c r="I17" s="24" t="inlineStr">
        <is>
          <t>Not Started</t>
        </is>
      </c>
    </row>
    <row r="18">
      <c r="A18" s="10" t="inlineStr">
        <is>
          <t>Assignments</t>
        </is>
      </c>
      <c r="B18" s="10" t="inlineStr">
        <is>
          <t>Assignment 1</t>
        </is>
      </c>
      <c r="C18" s="12" t="n">
        <v>0.15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/>
      <c r="I18" s="24" t="inlineStr">
        <is>
          <t>Not Started</t>
        </is>
      </c>
    </row>
    <row r="19">
      <c r="A19" s="10" t="inlineStr">
        <is>
          <t>Assignments</t>
        </is>
      </c>
      <c r="B19" s="10" t="inlineStr">
        <is>
          <t>Assignment 2</t>
        </is>
      </c>
      <c r="C19" s="12" t="n">
        <v>0.15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/>
      <c r="I19" s="24" t="inlineStr">
        <is>
          <t>Not Started</t>
        </is>
      </c>
    </row>
    <row r="20">
      <c r="A20" s="10" t="inlineStr">
        <is>
          <t>Quizzes</t>
        </is>
      </c>
      <c r="B20" s="10" t="inlineStr">
        <is>
          <t>Quiz 1</t>
        </is>
      </c>
      <c r="C20" s="12" t="n">
        <v>0.01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/>
      <c r="I20" s="24" t="inlineStr">
        <is>
          <t>Not Started</t>
        </is>
      </c>
    </row>
    <row r="21">
      <c r="A21" s="10" t="inlineStr">
        <is>
          <t>Quizzes</t>
        </is>
      </c>
      <c r="B21" s="10" t="inlineStr">
        <is>
          <t>Quiz 2</t>
        </is>
      </c>
      <c r="C21" s="12" t="n">
        <v>0.01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/>
      <c r="I21" s="24" t="inlineStr">
        <is>
          <t>Not Started</t>
        </is>
      </c>
    </row>
    <row r="22">
      <c r="A22" s="10" t="inlineStr">
        <is>
          <t>Quizzes</t>
        </is>
      </c>
      <c r="B22" s="10" t="inlineStr">
        <is>
          <t>Quiz 3</t>
        </is>
      </c>
      <c r="C22" s="12" t="n">
        <v>0.01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/>
      <c r="I22" s="24" t="inlineStr">
        <is>
          <t>Not Started</t>
        </is>
      </c>
    </row>
    <row r="23">
      <c r="A23" s="10" t="inlineStr">
        <is>
          <t>Quizzes</t>
        </is>
      </c>
      <c r="B23" s="10" t="inlineStr">
        <is>
          <t>Quiz 4</t>
        </is>
      </c>
      <c r="C23" s="12" t="n">
        <v>0.01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/>
      <c r="I23" s="24" t="inlineStr">
        <is>
          <t>Not Started</t>
        </is>
      </c>
    </row>
    <row r="24">
      <c r="A24" s="10" t="inlineStr">
        <is>
          <t>Midterm Test</t>
        </is>
      </c>
      <c r="B24" s="10" t="inlineStr">
        <is>
          <t>Midterm Test</t>
        </is>
      </c>
      <c r="C24" s="12" t="n">
        <v>0.25</v>
      </c>
      <c r="D24" s="11" t="n">
        <v>100</v>
      </c>
      <c r="E24" s="22" t="n"/>
      <c r="F24" s="12">
        <f>IF(ISBLANK(E24), "", E24/D24)</f>
        <v/>
      </c>
      <c r="G24" s="23">
        <f>IF(ISBLANK(E24), "", F24*C24)</f>
        <v/>
      </c>
      <c r="H24" s="10" t="inlineStr">
        <is>
          <t>2026-10-21</t>
        </is>
      </c>
      <c r="I24" s="24" t="inlineStr">
        <is>
          <t>Not Started</t>
        </is>
      </c>
    </row>
    <row r="25">
      <c r="A25" s="10" t="inlineStr">
        <is>
          <t>Final Test</t>
        </is>
      </c>
      <c r="B25" s="10" t="inlineStr">
        <is>
          <t>Final Test</t>
        </is>
      </c>
      <c r="C25" s="12" t="n">
        <v>0.25</v>
      </c>
      <c r="D25" s="11" t="n">
        <v>100</v>
      </c>
      <c r="E25" s="22" t="n"/>
      <c r="F25" s="12">
        <f>IF(ISBLANK(E25), "", E25/D25)</f>
        <v/>
      </c>
      <c r="G25" s="23">
        <f>IF(ISBLANK(E25), "", F25*C25)</f>
        <v/>
      </c>
      <c r="H25" s="10" t="inlineStr"/>
      <c r="I25" s="24" t="inlineStr">
        <is>
          <t>Not Started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4" customWidth="1" min="1" max="1"/>
    <col width="20" customWidth="1" min="2" max="2"/>
    <col width="35" customWidth="1" min="3" max="3"/>
    <col width="17" customWidth="1" min="4" max="4"/>
    <col width="18" customWidth="1" min="5" max="5"/>
    <col width="35" customWidth="1" min="6" max="6"/>
    <col width="35" customWidth="1" min="7" max="7"/>
    <col width="19" customWidth="1" min="8" max="8"/>
    <col width="35" customWidth="1" min="9" max="9"/>
    <col width="17" customWidth="1" min="10" max="10"/>
    <col width="45" customWidth="1" min="11" max="11"/>
  </cols>
  <sheetData>
    <row r="1">
      <c r="A1" s="1" t="inlineStr">
        <is>
          <t>WTP100: Work Term Preparation</t>
        </is>
      </c>
    </row>
    <row r="2">
      <c r="A2" s="2" t="inlineStr">
        <is>
          <t>Credits: 1.0  |  Classification: Co-op Preparation  |  Grading Scale: SAT/UN</t>
        </is>
      </c>
    </row>
    <row r="3">
      <c r="A3" s="17" t="inlineStr">
        <is>
          <t>Passing Criteria: Successfully complete each of the 14 modules • Pass each Knowledge Check with a passing score of 80% or higher to earn SAT</t>
        </is>
      </c>
    </row>
    <row r="4"/>
    <row r="5">
      <c r="B5" s="18" t="inlineStr">
        <is>
          <t>Completed Weight</t>
        </is>
      </c>
      <c r="C5" s="19">
        <f>SUMIF(E10:E23, "&lt;&gt;", C10:C23)</f>
        <v/>
      </c>
      <c r="D5" s="18" t="inlineStr">
        <is>
          <t>Earned Weight</t>
        </is>
      </c>
      <c r="E5" s="20">
        <f>SUM(G10:G23)</f>
        <v/>
      </c>
      <c r="F5" s="18" t="inlineStr">
        <is>
          <t>Current Average</t>
        </is>
      </c>
      <c r="G5" s="19">
        <f>IF(C5&gt;0, E5/C5, "N/A")</f>
        <v/>
      </c>
      <c r="H5" s="18" t="inlineStr">
        <is>
          <t>Projected Final</t>
        </is>
      </c>
      <c r="I5" s="19">
        <f>IF(C5&gt;0, E5 + (1-C5)*G5, 1.0)</f>
        <v/>
      </c>
      <c r="J5" s="18" t="inlineStr">
        <is>
          <t>Hurdle Status</t>
        </is>
      </c>
      <c r="K5" s="21">
        <f>IF(G5&gt;=0.5, "PASSED", "NEEDS ATTENTION")</f>
        <v/>
      </c>
    </row>
    <row r="6"/>
    <row r="7"/>
    <row r="8"/>
    <row r="9">
      <c r="A9" s="7" t="inlineStr">
        <is>
          <t>Category</t>
        </is>
      </c>
      <c r="B9" s="7" t="inlineStr">
        <is>
          <t>Assessment Item</t>
        </is>
      </c>
      <c r="C9" s="7" t="inlineStr">
        <is>
          <t>Weight %</t>
        </is>
      </c>
      <c r="D9" s="7" t="inlineStr">
        <is>
          <t>Max Pts</t>
        </is>
      </c>
      <c r="E9" s="7" t="inlineStr">
        <is>
          <t>Earned Pts</t>
        </is>
      </c>
      <c r="F9" s="7" t="inlineStr">
        <is>
          <t>Score %</t>
        </is>
      </c>
      <c r="G9" s="7" t="inlineStr">
        <is>
          <t>Weighted Earned %</t>
        </is>
      </c>
      <c r="H9" s="7" t="inlineStr">
        <is>
          <t>Due Date</t>
        </is>
      </c>
      <c r="I9" s="7" t="inlineStr">
        <is>
          <t>Status</t>
        </is>
      </c>
    </row>
    <row r="10">
      <c r="A10" s="10" t="inlineStr">
        <is>
          <t>Modules &amp; Knowledge Checks</t>
        </is>
      </c>
      <c r="B10" s="10" t="inlineStr">
        <is>
          <t>Module 1</t>
        </is>
      </c>
      <c r="C10" s="12" t="n">
        <v>0.07139999999999999</v>
      </c>
      <c r="D10" s="11" t="n">
        <v>100</v>
      </c>
      <c r="E10" s="22" t="n"/>
      <c r="F10" s="12">
        <f>IF(ISBLANK(E10), "", E10/D10)</f>
        <v/>
      </c>
      <c r="G10" s="23">
        <f>IF(ISBLANK(E10), "", F10*C10)</f>
        <v/>
      </c>
      <c r="H10" s="10" t="inlineStr">
        <is>
          <t>2026-9-11</t>
        </is>
      </c>
      <c r="I10" s="24" t="inlineStr">
        <is>
          <t>Done</t>
        </is>
      </c>
    </row>
    <row r="11">
      <c r="A11" s="10" t="inlineStr">
        <is>
          <t>Modules &amp; Knowledge Checks</t>
        </is>
      </c>
      <c r="B11" s="10" t="inlineStr">
        <is>
          <t>Module 2</t>
        </is>
      </c>
      <c r="C11" s="12" t="n">
        <v>0.07139999999999999</v>
      </c>
      <c r="D11" s="11" t="n">
        <v>100</v>
      </c>
      <c r="E11" s="22" t="n"/>
      <c r="F11" s="12">
        <f>IF(ISBLANK(E11), "", E11/D11)</f>
        <v/>
      </c>
      <c r="G11" s="23">
        <f>IF(ISBLANK(E11), "", F11*C11)</f>
        <v/>
      </c>
      <c r="H11" s="10" t="inlineStr">
        <is>
          <t>2026-9-11</t>
        </is>
      </c>
      <c r="I11" s="24" t="inlineStr">
        <is>
          <t>Done</t>
        </is>
      </c>
    </row>
    <row r="12">
      <c r="A12" s="10" t="inlineStr">
        <is>
          <t>Modules &amp; Knowledge Checks</t>
        </is>
      </c>
      <c r="B12" s="10" t="inlineStr">
        <is>
          <t>Module 3</t>
        </is>
      </c>
      <c r="C12" s="12" t="n">
        <v>0.07139999999999999</v>
      </c>
      <c r="D12" s="11" t="n">
        <v>100</v>
      </c>
      <c r="E12" s="22" t="n"/>
      <c r="F12" s="12">
        <f>IF(ISBLANK(E12), "", E12/D12)</f>
        <v/>
      </c>
      <c r="G12" s="23">
        <f>IF(ISBLANK(E12), "", F12*C12)</f>
        <v/>
      </c>
      <c r="H12" s="10" t="inlineStr">
        <is>
          <t>2026-9-11</t>
        </is>
      </c>
      <c r="I12" s="24" t="inlineStr">
        <is>
          <t>In Progress</t>
        </is>
      </c>
    </row>
    <row r="13">
      <c r="A13" s="10" t="inlineStr">
        <is>
          <t>Modules &amp; Knowledge Checks</t>
        </is>
      </c>
      <c r="B13" s="10" t="inlineStr">
        <is>
          <t>Module 4</t>
        </is>
      </c>
      <c r="C13" s="12" t="n">
        <v>0.07139999999999999</v>
      </c>
      <c r="D13" s="11" t="n">
        <v>100</v>
      </c>
      <c r="E13" s="22" t="n"/>
      <c r="F13" s="12">
        <f>IF(ISBLANK(E13), "", E13/D13)</f>
        <v/>
      </c>
      <c r="G13" s="23">
        <f>IF(ISBLANK(E13), "", F13*C13)</f>
        <v/>
      </c>
      <c r="H13" s="10" t="inlineStr">
        <is>
          <t>2026-9-18</t>
        </is>
      </c>
      <c r="I13" s="24" t="inlineStr">
        <is>
          <t>Not Started</t>
        </is>
      </c>
    </row>
    <row r="14">
      <c r="A14" s="10" t="inlineStr">
        <is>
          <t>Modules &amp; Knowledge Checks</t>
        </is>
      </c>
      <c r="B14" s="10" t="inlineStr">
        <is>
          <t>Module 5</t>
        </is>
      </c>
      <c r="C14" s="12" t="n">
        <v>0.07139999999999999</v>
      </c>
      <c r="D14" s="11" t="n">
        <v>100</v>
      </c>
      <c r="E14" s="22" t="n"/>
      <c r="F14" s="12">
        <f>IF(ISBLANK(E14), "", E14/D14)</f>
        <v/>
      </c>
      <c r="G14" s="23">
        <f>IF(ISBLANK(E14), "", F14*C14)</f>
        <v/>
      </c>
      <c r="H14" s="10" t="inlineStr">
        <is>
          <t>2026-9-18</t>
        </is>
      </c>
      <c r="I14" s="24" t="inlineStr">
        <is>
          <t>Not Started</t>
        </is>
      </c>
    </row>
    <row r="15">
      <c r="A15" s="10" t="inlineStr">
        <is>
          <t>Modules &amp; Knowledge Checks</t>
        </is>
      </c>
      <c r="B15" s="10" t="inlineStr">
        <is>
          <t>Module 6</t>
        </is>
      </c>
      <c r="C15" s="12" t="n">
        <v>0.07139999999999999</v>
      </c>
      <c r="D15" s="11" t="n">
        <v>100</v>
      </c>
      <c r="E15" s="22" t="n"/>
      <c r="F15" s="12">
        <f>IF(ISBLANK(E15), "", E15/D15)</f>
        <v/>
      </c>
      <c r="G15" s="23">
        <f>IF(ISBLANK(E15), "", F15*C15)</f>
        <v/>
      </c>
      <c r="H15" s="10" t="inlineStr">
        <is>
          <t>2026-9-25</t>
        </is>
      </c>
      <c r="I15" s="24" t="inlineStr">
        <is>
          <t>Not Started</t>
        </is>
      </c>
    </row>
    <row r="16">
      <c r="A16" s="10" t="inlineStr">
        <is>
          <t>Modules &amp; Knowledge Checks</t>
        </is>
      </c>
      <c r="B16" s="10" t="inlineStr">
        <is>
          <t>Module 7</t>
        </is>
      </c>
      <c r="C16" s="12" t="n">
        <v>0.07139999999999999</v>
      </c>
      <c r="D16" s="11" t="n">
        <v>100</v>
      </c>
      <c r="E16" s="22" t="n"/>
      <c r="F16" s="12">
        <f>IF(ISBLANK(E16), "", E16/D16)</f>
        <v/>
      </c>
      <c r="G16" s="23">
        <f>IF(ISBLANK(E16), "", F16*C16)</f>
        <v/>
      </c>
      <c r="H16" s="10" t="inlineStr">
        <is>
          <t>2026-9-25</t>
        </is>
      </c>
      <c r="I16" s="24" t="inlineStr">
        <is>
          <t>Not Started</t>
        </is>
      </c>
    </row>
    <row r="17">
      <c r="A17" s="10" t="inlineStr">
        <is>
          <t>Modules &amp; Knowledge Checks</t>
        </is>
      </c>
      <c r="B17" s="10" t="inlineStr">
        <is>
          <t>Module 8</t>
        </is>
      </c>
      <c r="C17" s="12" t="n">
        <v>0.07139999999999999</v>
      </c>
      <c r="D17" s="11" t="n">
        <v>100</v>
      </c>
      <c r="E17" s="22" t="n"/>
      <c r="F17" s="12">
        <f>IF(ISBLANK(E17), "", E17/D17)</f>
        <v/>
      </c>
      <c r="G17" s="23">
        <f>IF(ISBLANK(E17), "", F17*C17)</f>
        <v/>
      </c>
      <c r="H17" s="10" t="inlineStr">
        <is>
          <t>2026-10-02</t>
        </is>
      </c>
      <c r="I17" s="24" t="inlineStr">
        <is>
          <t>Not Started</t>
        </is>
      </c>
    </row>
    <row r="18">
      <c r="A18" s="10" t="inlineStr">
        <is>
          <t>Modules &amp; Knowledge Checks</t>
        </is>
      </c>
      <c r="B18" s="10" t="inlineStr">
        <is>
          <t>Module 9</t>
        </is>
      </c>
      <c r="C18" s="12" t="n">
        <v>0.07139999999999999</v>
      </c>
      <c r="D18" s="11" t="n">
        <v>100</v>
      </c>
      <c r="E18" s="22" t="n"/>
      <c r="F18" s="12">
        <f>IF(ISBLANK(E18), "", E18/D18)</f>
        <v/>
      </c>
      <c r="G18" s="23">
        <f>IF(ISBLANK(E18), "", F18*C18)</f>
        <v/>
      </c>
      <c r="H18" s="10" t="inlineStr">
        <is>
          <t>2026-10-02</t>
        </is>
      </c>
      <c r="I18" s="24" t="inlineStr">
        <is>
          <t>Not Started</t>
        </is>
      </c>
    </row>
    <row r="19">
      <c r="A19" s="10" t="inlineStr">
        <is>
          <t>Modules &amp; Knowledge Checks</t>
        </is>
      </c>
      <c r="B19" s="10" t="inlineStr">
        <is>
          <t>Module 10</t>
        </is>
      </c>
      <c r="C19" s="12" t="n">
        <v>0.07139999999999999</v>
      </c>
      <c r="D19" s="11" t="n">
        <v>100</v>
      </c>
      <c r="E19" s="22" t="n"/>
      <c r="F19" s="12">
        <f>IF(ISBLANK(E19), "", E19/D19)</f>
        <v/>
      </c>
      <c r="G19" s="23">
        <f>IF(ISBLANK(E19), "", F19*C19)</f>
        <v/>
      </c>
      <c r="H19" s="10" t="inlineStr">
        <is>
          <t>2026-9-11</t>
        </is>
      </c>
      <c r="I19" s="24" t="inlineStr">
        <is>
          <t>Done</t>
        </is>
      </c>
    </row>
    <row r="20">
      <c r="A20" s="10" t="inlineStr">
        <is>
          <t>Modules &amp; Knowledge Checks</t>
        </is>
      </c>
      <c r="B20" s="10" t="inlineStr">
        <is>
          <t>Module 11</t>
        </is>
      </c>
      <c r="C20" s="12" t="n">
        <v>0.07139999999999999</v>
      </c>
      <c r="D20" s="11" t="n">
        <v>100</v>
      </c>
      <c r="E20" s="22" t="n"/>
      <c r="F20" s="12">
        <f>IF(ISBLANK(E20), "", E20/D20)</f>
        <v/>
      </c>
      <c r="G20" s="23">
        <f>IF(ISBLANK(E20), "", F20*C20)</f>
        <v/>
      </c>
      <c r="H20" s="10" t="inlineStr">
        <is>
          <t>2026-9-11</t>
        </is>
      </c>
      <c r="I20" s="24" t="inlineStr">
        <is>
          <t>Done</t>
        </is>
      </c>
    </row>
    <row r="21">
      <c r="A21" s="10" t="inlineStr">
        <is>
          <t>Modules &amp; Knowledge Checks</t>
        </is>
      </c>
      <c r="B21" s="10" t="inlineStr">
        <is>
          <t>Module 12</t>
        </is>
      </c>
      <c r="C21" s="12" t="n">
        <v>0.07139999999999999</v>
      </c>
      <c r="D21" s="11" t="n">
        <v>100</v>
      </c>
      <c r="E21" s="22" t="n"/>
      <c r="F21" s="12">
        <f>IF(ISBLANK(E21), "", E21/D21)</f>
        <v/>
      </c>
      <c r="G21" s="23">
        <f>IF(ISBLANK(E21), "", F21*C21)</f>
        <v/>
      </c>
      <c r="H21" s="10" t="inlineStr">
        <is>
          <t>2026-9-11</t>
        </is>
      </c>
      <c r="I21" s="24" t="inlineStr">
        <is>
          <t>Done</t>
        </is>
      </c>
    </row>
    <row r="22">
      <c r="A22" s="10" t="inlineStr">
        <is>
          <t>Modules &amp; Knowledge Checks</t>
        </is>
      </c>
      <c r="B22" s="10" t="inlineStr">
        <is>
          <t>Module 13</t>
        </is>
      </c>
      <c r="C22" s="12" t="n">
        <v>0.07139999999999999</v>
      </c>
      <c r="D22" s="11" t="n">
        <v>100</v>
      </c>
      <c r="E22" s="22" t="n"/>
      <c r="F22" s="12">
        <f>IF(ISBLANK(E22), "", E22/D22)</f>
        <v/>
      </c>
      <c r="G22" s="23">
        <f>IF(ISBLANK(E22), "", F22*C22)</f>
        <v/>
      </c>
      <c r="H22" s="10" t="inlineStr">
        <is>
          <t>2026-9-11</t>
        </is>
      </c>
      <c r="I22" s="24" t="inlineStr">
        <is>
          <t>Done</t>
        </is>
      </c>
    </row>
    <row r="23">
      <c r="A23" s="10" t="inlineStr">
        <is>
          <t>Modules &amp; Knowledge Checks</t>
        </is>
      </c>
      <c r="B23" s="10" t="inlineStr">
        <is>
          <t>Module 14</t>
        </is>
      </c>
      <c r="C23" s="12" t="n">
        <v>0.07180000000000007</v>
      </c>
      <c r="D23" s="11" t="n">
        <v>100</v>
      </c>
      <c r="E23" s="22" t="n"/>
      <c r="F23" s="12">
        <f>IF(ISBLANK(E23), "", E23/D23)</f>
        <v/>
      </c>
      <c r="G23" s="23">
        <f>IF(ISBLANK(E23), "", F23*C23)</f>
        <v/>
      </c>
      <c r="H23" s="10" t="inlineStr">
        <is>
          <t>2026-9-11</t>
        </is>
      </c>
      <c r="I23" s="24" t="inlineStr">
        <is>
          <t>Done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87" customWidth="1" min="1" max="1"/>
    <col width="48" customWidth="1" min="2" max="2"/>
    <col width="12" customWidth="1" min="3" max="3"/>
    <col width="22" customWidth="1" min="4" max="4"/>
    <col width="19" customWidth="1" min="5" max="5"/>
    <col width="17" customWidth="1" min="6" max="6"/>
    <col width="16" customWidth="1" min="7" max="7"/>
    <col width="166" customWidth="1" min="8" max="8"/>
    <col width="22" customWidth="1" min="9" max="9"/>
    <col width="42" customWidth="1" min="10" max="10"/>
    <col width="130" customWidth="1" min="11" max="11"/>
  </cols>
  <sheetData>
    <row r="1">
      <c r="A1" s="1" t="inlineStr">
        <is>
          <t>What-If Final Grade Simulator &amp; Target Solver</t>
        </is>
      </c>
    </row>
    <row r="2">
      <c r="A2" s="2" t="inlineStr">
        <is>
          <t>Calculate required score on unsubmitted deliverables to achieve target letter grade</t>
        </is>
      </c>
    </row>
    <row r="3"/>
    <row r="4">
      <c r="A4" s="7" t="inlineStr">
        <is>
          <t>Course Code</t>
        </is>
      </c>
      <c r="B4" s="7" t="inlineStr">
        <is>
          <t>Course Name</t>
        </is>
      </c>
      <c r="C4" s="7" t="inlineStr">
        <is>
          <t>Credits</t>
        </is>
      </c>
      <c r="D4" s="7" t="inlineStr">
        <is>
          <t>Completed Weight %</t>
        </is>
      </c>
      <c r="E4" s="7" t="inlineStr">
        <is>
          <t>Earned Weight %</t>
        </is>
      </c>
      <c r="F4" s="7" t="inlineStr">
        <is>
          <t>Current Avg %</t>
        </is>
      </c>
      <c r="G4" s="7" t="inlineStr">
        <is>
          <t>Target Grade</t>
        </is>
      </c>
      <c r="H4" s="7" t="inlineStr">
        <is>
          <t>Target %</t>
        </is>
      </c>
      <c r="I4" s="7" t="inlineStr">
        <is>
          <t>Remaining Weight %</t>
        </is>
      </c>
      <c r="J4" s="7" t="inlineStr">
        <is>
          <t>Required Avg on Remaining %</t>
        </is>
      </c>
      <c r="K4" s="7" t="inlineStr">
        <is>
          <t>Feasibility</t>
        </is>
      </c>
    </row>
    <row r="5">
      <c r="A5" s="9" t="inlineStr">
        <is>
          <t>CSN305</t>
        </is>
      </c>
      <c r="B5" s="10" t="inlineStr">
        <is>
          <t>Virtualization and Cloud Infrastructure</t>
        </is>
      </c>
      <c r="C5" s="10" t="n">
        <v>3</v>
      </c>
      <c r="D5" s="25">
        <f>CSN305!C5</f>
        <v/>
      </c>
      <c r="E5" s="26">
        <f>CSN305!E5</f>
        <v/>
      </c>
      <c r="F5" s="27">
        <f>CSN305!G5</f>
        <v/>
      </c>
      <c r="G5" s="14" t="inlineStr">
        <is>
          <t>A</t>
        </is>
      </c>
      <c r="H5" s="25">
        <f>IF(G5="A+", 0.90, IF(G5="A", 0.80, IF(G5="B+", 0.75, IF(G5="B", 0.70, IF(G5="C+", 0.65, IF(G5="C", 0.60, IF(G5="D+", 0.55, IF(G5="D", 0.50, 0.50))))))))</f>
        <v/>
      </c>
      <c r="I5" s="25">
        <f>1.0-D5</f>
        <v/>
      </c>
      <c r="J5" s="27">
        <f>IF(I5&gt;0, (H5-E5)/I5, "Finished")</f>
        <v/>
      </c>
      <c r="K5" s="14">
        <f>IF(I5&lt;=0, "Completed", IF(J5&gt;1.0, "Impossible (&gt;100%)", IF(J5&lt;=0, "Secured", IF(J5&gt;=0.85, "Challenging", "Achievable"))))</f>
        <v/>
      </c>
    </row>
    <row r="6">
      <c r="A6" s="9" t="inlineStr">
        <is>
          <t>DAT330</t>
        </is>
      </c>
      <c r="B6" s="10" t="inlineStr">
        <is>
          <t>Introduction to Databases</t>
        </is>
      </c>
      <c r="C6" s="10" t="n">
        <v>3</v>
      </c>
      <c r="D6" s="25">
        <f>DAT330!C5</f>
        <v/>
      </c>
      <c r="E6" s="26">
        <f>DAT330!E5</f>
        <v/>
      </c>
      <c r="F6" s="27">
        <f>DAT330!G5</f>
        <v/>
      </c>
      <c r="G6" s="14" t="inlineStr">
        <is>
          <t>A</t>
        </is>
      </c>
      <c r="H6" s="25">
        <f>IF(G6="A+", 0.90, IF(G6="A", 0.80, IF(G6="B+", 0.75, IF(G6="B", 0.70, IF(G6="C+", 0.65, IF(G6="C", 0.60, IF(G6="D+", 0.55, IF(G6="D", 0.50, 0.50))))))))</f>
        <v/>
      </c>
      <c r="I6" s="25">
        <f>1.0-D6</f>
        <v/>
      </c>
      <c r="J6" s="27">
        <f>IF(I6&gt;0, (H6-E6)/I6, "Finished")</f>
        <v/>
      </c>
      <c r="K6" s="14">
        <f>IF(I6&lt;=0, "Completed", IF(J6&gt;1.0, "Impossible (&gt;100%)", IF(J6&lt;=0, "Secured", IF(J6&gt;=0.85, "Challenging", "Achievable"))))</f>
        <v/>
      </c>
    </row>
    <row r="7">
      <c r="A7" s="9" t="inlineStr">
        <is>
          <t>MST300</t>
        </is>
      </c>
      <c r="B7" s="10" t="inlineStr">
        <is>
          <t>Introduction to Microsoft Cloud Technologies</t>
        </is>
      </c>
      <c r="C7" s="10" t="n">
        <v>3</v>
      </c>
      <c r="D7" s="25">
        <f>MST300!C5</f>
        <v/>
      </c>
      <c r="E7" s="26">
        <f>MST300!E5</f>
        <v/>
      </c>
      <c r="F7" s="27">
        <f>MST300!G5</f>
        <v/>
      </c>
      <c r="G7" s="14" t="inlineStr">
        <is>
          <t>A</t>
        </is>
      </c>
      <c r="H7" s="25">
        <f>IF(G7="A+", 0.90, IF(G7="A", 0.80, IF(G7="B+", 0.75, IF(G7="B", 0.70, IF(G7="C+", 0.65, IF(G7="C", 0.60, IF(G7="D+", 0.55, IF(G7="D", 0.50, 0.50))))))))</f>
        <v/>
      </c>
      <c r="I7" s="25">
        <f>1.0-D7</f>
        <v/>
      </c>
      <c r="J7" s="27">
        <f>IF(I7&gt;0, (H7-E7)/I7, "Finished")</f>
        <v/>
      </c>
      <c r="K7" s="14">
        <f>IF(I7&lt;=0, "Completed", IF(J7&gt;1.0, "Impossible (&gt;100%)", IF(J7&lt;=0, "Secured", IF(J7&gt;=0.85, "Challenging", "Achievable"))))</f>
        <v/>
      </c>
    </row>
    <row r="8">
      <c r="A8" s="9" t="inlineStr">
        <is>
          <t>PSY262</t>
        </is>
      </c>
      <c r="B8" s="10" t="inlineStr">
        <is>
          <t>Applied Psychology of Mindfulness</t>
        </is>
      </c>
      <c r="C8" s="10" t="n">
        <v>3</v>
      </c>
      <c r="D8" s="25">
        <f>PSY262!C5</f>
        <v/>
      </c>
      <c r="E8" s="26">
        <f>PSY262!E5</f>
        <v/>
      </c>
      <c r="F8" s="27">
        <f>PSY262!G5</f>
        <v/>
      </c>
      <c r="G8" s="14" t="inlineStr">
        <is>
          <t>A</t>
        </is>
      </c>
      <c r="H8" s="25">
        <f>IF(G8="A+", 0.90, IF(G8="A", 0.80, IF(G8="B+", 0.75, IF(G8="B", 0.70, IF(G8="C+", 0.65, IF(G8="C", 0.60, IF(G8="D+", 0.55, IF(G8="D", 0.50, 0.50))))))))</f>
        <v/>
      </c>
      <c r="I8" s="25">
        <f>1.0-D8</f>
        <v/>
      </c>
      <c r="J8" s="27">
        <f>IF(I8&gt;0, (H8-E8)/I8, "Finished")</f>
        <v/>
      </c>
      <c r="K8" s="14">
        <f>IF(I8&lt;=0, "Completed", IF(J8&gt;1.0, "Impossible (&gt;100%)", IF(J8&lt;=0, "Secured", IF(J8&gt;=0.85, "Challenging", "Achievable"))))</f>
        <v/>
      </c>
    </row>
    <row r="9">
      <c r="A9" s="9" t="inlineStr">
        <is>
          <t>SEC320</t>
        </is>
      </c>
      <c r="B9" s="10" t="inlineStr">
        <is>
          <t>Incident Response and Computer Forensics</t>
        </is>
      </c>
      <c r="C9" s="10" t="n">
        <v>3</v>
      </c>
      <c r="D9" s="25">
        <f>SEC320!C5</f>
        <v/>
      </c>
      <c r="E9" s="26">
        <f>SEC320!E5</f>
        <v/>
      </c>
      <c r="F9" s="27">
        <f>SEC320!G5</f>
        <v/>
      </c>
      <c r="G9" s="14" t="inlineStr">
        <is>
          <t>A</t>
        </is>
      </c>
      <c r="H9" s="25">
        <f>IF(G9="A+", 0.90, IF(G9="A", 0.80, IF(G9="B+", 0.75, IF(G9="B", 0.70, IF(G9="C+", 0.65, IF(G9="C", 0.60, IF(G9="D+", 0.55, IF(G9="D", 0.50, 0.50))))))))</f>
        <v/>
      </c>
      <c r="I9" s="25">
        <f>1.0-D9</f>
        <v/>
      </c>
      <c r="J9" s="27">
        <f>IF(I9&gt;0, (H9-E9)/I9, "Finished")</f>
        <v/>
      </c>
      <c r="K9" s="14">
        <f>IF(I9&lt;=0, "Completed", IF(J9&gt;1.0, "Impossible (&gt;100%)", IF(J9&lt;=0, "Secured", IF(J9&gt;=0.85, "Challenging", "Achievable"))))</f>
        <v/>
      </c>
    </row>
    <row r="10">
      <c r="A10" s="9" t="inlineStr">
        <is>
          <t>OPS345</t>
        </is>
      </c>
      <c r="B10" s="10" t="inlineStr">
        <is>
          <t>Open System Application Server</t>
        </is>
      </c>
      <c r="C10" s="10" t="n">
        <v>3</v>
      </c>
      <c r="D10" s="25">
        <f>OPS345!C5</f>
        <v/>
      </c>
      <c r="E10" s="26">
        <f>OPS345!E5</f>
        <v/>
      </c>
      <c r="F10" s="27">
        <f>OPS345!G5</f>
        <v/>
      </c>
      <c r="G10" s="14" t="inlineStr">
        <is>
          <t>A</t>
        </is>
      </c>
      <c r="H10" s="25">
        <f>IF(G10="A+", 0.90, IF(G10="A", 0.80, IF(G10="B+", 0.75, IF(G10="B", 0.70, IF(G10="C+", 0.65, IF(G10="C", 0.60, IF(G10="D+", 0.55, IF(G10="D", 0.50, 0.50))))))))</f>
        <v/>
      </c>
      <c r="I10" s="25">
        <f>1.0-D10</f>
        <v/>
      </c>
      <c r="J10" s="27">
        <f>IF(I10&gt;0, (H10-E10)/I10, "Finished")</f>
        <v/>
      </c>
      <c r="K10" s="14">
        <f>IF(I10&lt;=0, "Completed", IF(J10&gt;1.0, "Impossible (&gt;100%)", IF(J10&lt;=0, "Secured", IF(J10&gt;=0.85, "Challenging", "Achievable"))))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4" customWidth="1" min="2" max="2"/>
    <col width="34" customWidth="1" min="3" max="3"/>
    <col width="24" customWidth="1" min="4" max="4"/>
    <col width="14" customWidth="1" min="5" max="5"/>
    <col width="15" customWidth="1" min="6" max="6"/>
  </cols>
  <sheetData>
    <row r="1">
      <c r="A1" s="1" t="inlineStr">
        <is>
          <t>Semester 3 Deliverables Timeline &amp; Tracking</t>
        </is>
      </c>
    </row>
    <row r="2">
      <c r="A2" s="2" t="inlineStr">
        <is>
          <t>Chronological view of all course assignments, weights, and completion status</t>
        </is>
      </c>
    </row>
    <row r="3"/>
    <row r="4">
      <c r="A4" s="7" t="inlineStr">
        <is>
          <t>Course</t>
        </is>
      </c>
      <c r="B4" s="7" t="inlineStr">
        <is>
          <t>Assessment Item</t>
        </is>
      </c>
      <c r="C4" s="7" t="inlineStr">
        <is>
          <t>Category</t>
        </is>
      </c>
      <c r="D4" s="7" t="inlineStr">
        <is>
          <t>Weight %</t>
        </is>
      </c>
      <c r="E4" s="7" t="inlineStr">
        <is>
          <t>Due Date</t>
        </is>
      </c>
      <c r="F4" s="7" t="inlineStr">
        <is>
          <t>Status</t>
        </is>
      </c>
    </row>
    <row r="5">
      <c r="A5" s="9" t="inlineStr">
        <is>
          <t>WTP100</t>
        </is>
      </c>
      <c r="B5" s="10" t="inlineStr">
        <is>
          <t>Module 1</t>
        </is>
      </c>
      <c r="C5" s="10" t="inlineStr">
        <is>
          <t>Modules &amp; Knowledge Checks</t>
        </is>
      </c>
      <c r="D5" s="12" t="n">
        <v>0.07139999999999999</v>
      </c>
      <c r="E5" s="24" t="inlineStr">
        <is>
          <t>2026-9-11</t>
        </is>
      </c>
      <c r="F5" s="28" t="inlineStr">
        <is>
          <t>Done</t>
        </is>
      </c>
    </row>
    <row r="6">
      <c r="A6" s="9" t="inlineStr">
        <is>
          <t>WTP100</t>
        </is>
      </c>
      <c r="B6" s="10" t="inlineStr">
        <is>
          <t>Module 2</t>
        </is>
      </c>
      <c r="C6" s="10" t="inlineStr">
        <is>
          <t>Modules &amp; Knowledge Checks</t>
        </is>
      </c>
      <c r="D6" s="12" t="n">
        <v>0.07139999999999999</v>
      </c>
      <c r="E6" s="24" t="inlineStr">
        <is>
          <t>2026-9-11</t>
        </is>
      </c>
      <c r="F6" s="28" t="inlineStr">
        <is>
          <t>Done</t>
        </is>
      </c>
    </row>
    <row r="7">
      <c r="A7" s="9" t="inlineStr">
        <is>
          <t>WTP100</t>
        </is>
      </c>
      <c r="B7" s="10" t="inlineStr">
        <is>
          <t>Module 3</t>
        </is>
      </c>
      <c r="C7" s="10" t="inlineStr">
        <is>
          <t>Modules &amp; Knowledge Checks</t>
        </is>
      </c>
      <c r="D7" s="12" t="n">
        <v>0.07139999999999999</v>
      </c>
      <c r="E7" s="24" t="inlineStr">
        <is>
          <t>2026-9-11</t>
        </is>
      </c>
      <c r="F7" s="21" t="inlineStr">
        <is>
          <t>In Progress</t>
        </is>
      </c>
    </row>
    <row r="8">
      <c r="A8" s="9" t="inlineStr">
        <is>
          <t>WTP100</t>
        </is>
      </c>
      <c r="B8" s="10" t="inlineStr">
        <is>
          <t>Module 10</t>
        </is>
      </c>
      <c r="C8" s="10" t="inlineStr">
        <is>
          <t>Modules &amp; Knowledge Checks</t>
        </is>
      </c>
      <c r="D8" s="12" t="n">
        <v>0.07139999999999999</v>
      </c>
      <c r="E8" s="24" t="inlineStr">
        <is>
          <t>2026-9-11</t>
        </is>
      </c>
      <c r="F8" s="28" t="inlineStr">
        <is>
          <t>Done</t>
        </is>
      </c>
    </row>
    <row r="9">
      <c r="A9" s="9" t="inlineStr">
        <is>
          <t>WTP100</t>
        </is>
      </c>
      <c r="B9" s="10" t="inlineStr">
        <is>
          <t>Module 11</t>
        </is>
      </c>
      <c r="C9" s="10" t="inlineStr">
        <is>
          <t>Modules &amp; Knowledge Checks</t>
        </is>
      </c>
      <c r="D9" s="12" t="n">
        <v>0.07139999999999999</v>
      </c>
      <c r="E9" s="24" t="inlineStr">
        <is>
          <t>2026-9-11</t>
        </is>
      </c>
      <c r="F9" s="28" t="inlineStr">
        <is>
          <t>Done</t>
        </is>
      </c>
    </row>
    <row r="10">
      <c r="A10" s="9" t="inlineStr">
        <is>
          <t>WTP100</t>
        </is>
      </c>
      <c r="B10" s="10" t="inlineStr">
        <is>
          <t>Module 12</t>
        </is>
      </c>
      <c r="C10" s="10" t="inlineStr">
        <is>
          <t>Modules &amp; Knowledge Checks</t>
        </is>
      </c>
      <c r="D10" s="12" t="n">
        <v>0.07139999999999999</v>
      </c>
      <c r="E10" s="24" t="inlineStr">
        <is>
          <t>2026-9-11</t>
        </is>
      </c>
      <c r="F10" s="28" t="inlineStr">
        <is>
          <t>Done</t>
        </is>
      </c>
    </row>
    <row r="11">
      <c r="A11" s="9" t="inlineStr">
        <is>
          <t>WTP100</t>
        </is>
      </c>
      <c r="B11" s="10" t="inlineStr">
        <is>
          <t>Module 13</t>
        </is>
      </c>
      <c r="C11" s="10" t="inlineStr">
        <is>
          <t>Modules &amp; Knowledge Checks</t>
        </is>
      </c>
      <c r="D11" s="12" t="n">
        <v>0.07139999999999999</v>
      </c>
      <c r="E11" s="24" t="inlineStr">
        <is>
          <t>2026-9-11</t>
        </is>
      </c>
      <c r="F11" s="28" t="inlineStr">
        <is>
          <t>Done</t>
        </is>
      </c>
    </row>
    <row r="12">
      <c r="A12" s="9" t="inlineStr">
        <is>
          <t>WTP100</t>
        </is>
      </c>
      <c r="B12" s="10" t="inlineStr">
        <is>
          <t>Module 14</t>
        </is>
      </c>
      <c r="C12" s="10" t="inlineStr">
        <is>
          <t>Modules &amp; Knowledge Checks</t>
        </is>
      </c>
      <c r="D12" s="12" t="n">
        <v>0.07180000000000007</v>
      </c>
      <c r="E12" s="24" t="inlineStr">
        <is>
          <t>2026-9-11</t>
        </is>
      </c>
      <c r="F12" s="28" t="inlineStr">
        <is>
          <t>Done</t>
        </is>
      </c>
    </row>
    <row r="13">
      <c r="A13" s="9" t="inlineStr">
        <is>
          <t>CSN305</t>
        </is>
      </c>
      <c r="B13" s="10" t="inlineStr">
        <is>
          <t>Lab 1</t>
        </is>
      </c>
      <c r="C13" s="10" t="inlineStr">
        <is>
          <t>Labs</t>
        </is>
      </c>
      <c r="D13" s="12" t="n">
        <v>0.04</v>
      </c>
      <c r="E13" s="24" t="inlineStr">
        <is>
          <t>2026-09-17</t>
        </is>
      </c>
      <c r="F13" s="14" t="inlineStr">
        <is>
          <t>Not Started</t>
        </is>
      </c>
    </row>
    <row r="14">
      <c r="A14" s="9" t="inlineStr">
        <is>
          <t>CSN305</t>
        </is>
      </c>
      <c r="B14" s="10" t="inlineStr">
        <is>
          <t>Lab 10</t>
        </is>
      </c>
      <c r="C14" s="10" t="inlineStr">
        <is>
          <t>Labs</t>
        </is>
      </c>
      <c r="D14" s="12" t="n">
        <v>0.04</v>
      </c>
      <c r="E14" s="24" t="inlineStr">
        <is>
          <t>2026-09-17</t>
        </is>
      </c>
      <c r="F14" s="14" t="inlineStr">
        <is>
          <t>Not Started</t>
        </is>
      </c>
    </row>
    <row r="15">
      <c r="A15" s="9" t="inlineStr">
        <is>
          <t>DAT330</t>
        </is>
      </c>
      <c r="B15" s="10" t="inlineStr">
        <is>
          <t>Lab 1</t>
        </is>
      </c>
      <c r="C15" s="10" t="inlineStr">
        <is>
          <t>Labs</t>
        </is>
      </c>
      <c r="D15" s="12" t="n">
        <v>0.025</v>
      </c>
      <c r="E15" s="24" t="inlineStr">
        <is>
          <t>2026-09-17</t>
        </is>
      </c>
      <c r="F15" s="28" t="inlineStr">
        <is>
          <t>Done</t>
        </is>
      </c>
    </row>
    <row r="16">
      <c r="A16" s="9" t="inlineStr">
        <is>
          <t>PSY262</t>
        </is>
      </c>
      <c r="B16" s="10" t="inlineStr">
        <is>
          <t>Assignment 1</t>
        </is>
      </c>
      <c r="C16" s="10" t="inlineStr">
        <is>
          <t>In-Class Assignments</t>
        </is>
      </c>
      <c r="D16" s="12" t="n">
        <v>0.025</v>
      </c>
      <c r="E16" s="24" t="inlineStr">
        <is>
          <t>2026-9-18</t>
        </is>
      </c>
      <c r="F16" s="14" t="inlineStr">
        <is>
          <t>Not Started</t>
        </is>
      </c>
    </row>
    <row r="17">
      <c r="A17" s="9" t="inlineStr">
        <is>
          <t>PSY262</t>
        </is>
      </c>
      <c r="B17" s="10" t="inlineStr">
        <is>
          <t>Assignment 2</t>
        </is>
      </c>
      <c r="C17" s="10" t="inlineStr">
        <is>
          <t>In-Class Assignments</t>
        </is>
      </c>
      <c r="D17" s="12" t="n">
        <v>0.025</v>
      </c>
      <c r="E17" s="24" t="inlineStr">
        <is>
          <t>2026-9-18</t>
        </is>
      </c>
      <c r="F17" s="14" t="inlineStr">
        <is>
          <t>Not Started</t>
        </is>
      </c>
    </row>
    <row r="18">
      <c r="A18" s="9" t="inlineStr">
        <is>
          <t>PSY262</t>
        </is>
      </c>
      <c r="B18" s="10" t="inlineStr">
        <is>
          <t>Assignment 10</t>
        </is>
      </c>
      <c r="C18" s="10" t="inlineStr">
        <is>
          <t>In-Class Assignments</t>
        </is>
      </c>
      <c r="D18" s="12" t="n">
        <v>0.025</v>
      </c>
      <c r="E18" s="24" t="inlineStr">
        <is>
          <t>2026-9-18</t>
        </is>
      </c>
      <c r="F18" s="14" t="inlineStr">
        <is>
          <t>Not Started</t>
        </is>
      </c>
    </row>
    <row r="19">
      <c r="A19" s="9" t="inlineStr">
        <is>
          <t>SEC320</t>
        </is>
      </c>
      <c r="B19" s="10" t="inlineStr">
        <is>
          <t>Lab 1</t>
        </is>
      </c>
      <c r="C19" s="10" t="inlineStr">
        <is>
          <t>Labs</t>
        </is>
      </c>
      <c r="D19" s="12" t="n">
        <v>0.04</v>
      </c>
      <c r="E19" s="24" t="inlineStr">
        <is>
          <t>2026-9-18</t>
        </is>
      </c>
      <c r="F19" s="14" t="inlineStr">
        <is>
          <t>Not Started</t>
        </is>
      </c>
    </row>
    <row r="20">
      <c r="A20" s="9" t="inlineStr">
        <is>
          <t>SEC320</t>
        </is>
      </c>
      <c r="B20" s="10" t="inlineStr">
        <is>
          <t>Lab 10</t>
        </is>
      </c>
      <c r="C20" s="10" t="inlineStr">
        <is>
          <t>Labs</t>
        </is>
      </c>
      <c r="D20" s="12" t="n">
        <v>0.04</v>
      </c>
      <c r="E20" s="24" t="inlineStr">
        <is>
          <t>2026-9-18</t>
        </is>
      </c>
      <c r="F20" s="14" t="inlineStr">
        <is>
          <t>Not Started</t>
        </is>
      </c>
    </row>
    <row r="21">
      <c r="A21" s="9" t="inlineStr">
        <is>
          <t>WTP100</t>
        </is>
      </c>
      <c r="B21" s="10" t="inlineStr">
        <is>
          <t>Module 4</t>
        </is>
      </c>
      <c r="C21" s="10" t="inlineStr">
        <is>
          <t>Modules &amp; Knowledge Checks</t>
        </is>
      </c>
      <c r="D21" s="12" t="n">
        <v>0.07139999999999999</v>
      </c>
      <c r="E21" s="24" t="inlineStr">
        <is>
          <t>2026-9-18</t>
        </is>
      </c>
      <c r="F21" s="14" t="inlineStr">
        <is>
          <t>Not Started</t>
        </is>
      </c>
    </row>
    <row r="22">
      <c r="A22" s="9" t="inlineStr">
        <is>
          <t>WTP100</t>
        </is>
      </c>
      <c r="B22" s="10" t="inlineStr">
        <is>
          <t>Module 5</t>
        </is>
      </c>
      <c r="C22" s="10" t="inlineStr">
        <is>
          <t>Modules &amp; Knowledge Checks</t>
        </is>
      </c>
      <c r="D22" s="12" t="n">
        <v>0.07139999999999999</v>
      </c>
      <c r="E22" s="24" t="inlineStr">
        <is>
          <t>2026-9-18</t>
        </is>
      </c>
      <c r="F22" s="14" t="inlineStr">
        <is>
          <t>Not Started</t>
        </is>
      </c>
    </row>
    <row r="23">
      <c r="A23" s="9" t="inlineStr">
        <is>
          <t>DAT330</t>
        </is>
      </c>
      <c r="B23" s="10" t="inlineStr">
        <is>
          <t>Quiz 1</t>
        </is>
      </c>
      <c r="C23" s="10" t="inlineStr">
        <is>
          <t>Quizzes</t>
        </is>
      </c>
      <c r="D23" s="12" t="n">
        <v>0.02</v>
      </c>
      <c r="E23" s="24" t="inlineStr">
        <is>
          <t>2026-09-21</t>
        </is>
      </c>
      <c r="F23" s="14" t="inlineStr">
        <is>
          <t>Not Started</t>
        </is>
      </c>
    </row>
    <row r="24">
      <c r="A24" s="9" t="inlineStr">
        <is>
          <t>MST300</t>
        </is>
      </c>
      <c r="B24" s="10" t="inlineStr">
        <is>
          <t>Quiz 1</t>
        </is>
      </c>
      <c r="C24" s="10" t="inlineStr">
        <is>
          <t>Quizzes</t>
        </is>
      </c>
      <c r="D24" s="12" t="n">
        <v>0.025</v>
      </c>
      <c r="E24" s="24" t="inlineStr">
        <is>
          <t>2026-9-22</t>
        </is>
      </c>
      <c r="F24" s="14" t="inlineStr">
        <is>
          <t>Not Started</t>
        </is>
      </c>
    </row>
    <row r="25">
      <c r="A25" s="9" t="inlineStr">
        <is>
          <t>CSN305</t>
        </is>
      </c>
      <c r="B25" s="10" t="inlineStr">
        <is>
          <t>Lab 2</t>
        </is>
      </c>
      <c r="C25" s="10" t="inlineStr">
        <is>
          <t>Labs</t>
        </is>
      </c>
      <c r="D25" s="12" t="n">
        <v>0.04</v>
      </c>
      <c r="E25" s="24" t="inlineStr">
        <is>
          <t>2026-09-24</t>
        </is>
      </c>
      <c r="F25" s="14" t="inlineStr">
        <is>
          <t>Not Started</t>
        </is>
      </c>
    </row>
    <row r="26">
      <c r="A26" s="9" t="inlineStr">
        <is>
          <t>DAT330</t>
        </is>
      </c>
      <c r="B26" s="10" t="inlineStr">
        <is>
          <t>Lab 2</t>
        </is>
      </c>
      <c r="C26" s="10" t="inlineStr">
        <is>
          <t>Labs</t>
        </is>
      </c>
      <c r="D26" s="12" t="n">
        <v>0.025</v>
      </c>
      <c r="E26" s="24" t="inlineStr">
        <is>
          <t>2026-09-24</t>
        </is>
      </c>
      <c r="F26" s="14" t="inlineStr">
        <is>
          <t>Not Started</t>
        </is>
      </c>
    </row>
    <row r="27">
      <c r="A27" s="9" t="inlineStr">
        <is>
          <t>PSY262</t>
        </is>
      </c>
      <c r="B27" s="10" t="inlineStr">
        <is>
          <t>Assignment 3</t>
        </is>
      </c>
      <c r="C27" s="10" t="inlineStr">
        <is>
          <t>In-Class Assignments</t>
        </is>
      </c>
      <c r="D27" s="12" t="n">
        <v>0.025</v>
      </c>
      <c r="E27" s="24" t="inlineStr">
        <is>
          <t>2026-9-25</t>
        </is>
      </c>
      <c r="F27" s="14" t="inlineStr">
        <is>
          <t>Not Started</t>
        </is>
      </c>
    </row>
    <row r="28">
      <c r="A28" s="9" t="inlineStr">
        <is>
          <t>SEC320</t>
        </is>
      </c>
      <c r="B28" s="10" t="inlineStr">
        <is>
          <t>Lab 2</t>
        </is>
      </c>
      <c r="C28" s="10" t="inlineStr">
        <is>
          <t>Labs</t>
        </is>
      </c>
      <c r="D28" s="12" t="n">
        <v>0.04</v>
      </c>
      <c r="E28" s="24" t="inlineStr">
        <is>
          <t>2026-9-25</t>
        </is>
      </c>
      <c r="F28" s="14" t="inlineStr">
        <is>
          <t>Not Started</t>
        </is>
      </c>
    </row>
    <row r="29">
      <c r="A29" s="9" t="inlineStr">
        <is>
          <t>WTP100</t>
        </is>
      </c>
      <c r="B29" s="10" t="inlineStr">
        <is>
          <t>Module 6</t>
        </is>
      </c>
      <c r="C29" s="10" t="inlineStr">
        <is>
          <t>Modules &amp; Knowledge Checks</t>
        </is>
      </c>
      <c r="D29" s="12" t="n">
        <v>0.07139999999999999</v>
      </c>
      <c r="E29" s="24" t="inlineStr">
        <is>
          <t>2026-9-25</t>
        </is>
      </c>
      <c r="F29" s="14" t="inlineStr">
        <is>
          <t>Not Started</t>
        </is>
      </c>
    </row>
    <row r="30">
      <c r="A30" s="9" t="inlineStr">
        <is>
          <t>WTP100</t>
        </is>
      </c>
      <c r="B30" s="10" t="inlineStr">
        <is>
          <t>Module 7</t>
        </is>
      </c>
      <c r="C30" s="10" t="inlineStr">
        <is>
          <t>Modules &amp; Knowledge Checks</t>
        </is>
      </c>
      <c r="D30" s="12" t="n">
        <v>0.07139999999999999</v>
      </c>
      <c r="E30" s="24" t="inlineStr">
        <is>
          <t>2026-9-25</t>
        </is>
      </c>
      <c r="F30" s="14" t="inlineStr">
        <is>
          <t>Not Started</t>
        </is>
      </c>
    </row>
    <row r="31">
      <c r="A31" s="9" t="inlineStr">
        <is>
          <t>DAT330</t>
        </is>
      </c>
      <c r="B31" s="10" t="inlineStr">
        <is>
          <t>Quiz 2</t>
        </is>
      </c>
      <c r="C31" s="10" t="inlineStr">
        <is>
          <t>Quizzes</t>
        </is>
      </c>
      <c r="D31" s="12" t="n">
        <v>0.02</v>
      </c>
      <c r="E31" s="24" t="inlineStr">
        <is>
          <t>2026-09-28</t>
        </is>
      </c>
      <c r="F31" s="14" t="inlineStr">
        <is>
          <t>Not Started</t>
        </is>
      </c>
    </row>
    <row r="32">
      <c r="A32" s="9" t="inlineStr">
        <is>
          <t>CSN305</t>
        </is>
      </c>
      <c r="B32" s="10" t="inlineStr">
        <is>
          <t>Lab 3</t>
        </is>
      </c>
      <c r="C32" s="10" t="inlineStr">
        <is>
          <t>Labs</t>
        </is>
      </c>
      <c r="D32" s="12" t="n">
        <v>0.04</v>
      </c>
      <c r="E32" s="24" t="inlineStr">
        <is>
          <t>2026-10-01</t>
        </is>
      </c>
      <c r="F32" s="14" t="inlineStr">
        <is>
          <t>Not Started</t>
        </is>
      </c>
    </row>
    <row r="33">
      <c r="A33" s="9" t="inlineStr">
        <is>
          <t>CSN305</t>
        </is>
      </c>
      <c r="B33" s="10" t="inlineStr">
        <is>
          <t>Test 1</t>
        </is>
      </c>
      <c r="C33" s="10" t="inlineStr">
        <is>
          <t>Tests</t>
        </is>
      </c>
      <c r="D33" s="12" t="n">
        <v>0.15</v>
      </c>
      <c r="E33" s="24" t="inlineStr">
        <is>
          <t>2026-10-01</t>
        </is>
      </c>
      <c r="F33" s="14" t="inlineStr">
        <is>
          <t>Not Started</t>
        </is>
      </c>
    </row>
    <row r="34">
      <c r="A34" s="9" t="inlineStr">
        <is>
          <t>DAT330</t>
        </is>
      </c>
      <c r="B34" s="10" t="inlineStr">
        <is>
          <t>Assignment 1</t>
        </is>
      </c>
      <c r="C34" s="10" t="inlineStr">
        <is>
          <t>Assignments</t>
        </is>
      </c>
      <c r="D34" s="12" t="n">
        <v>0.05</v>
      </c>
      <c r="E34" s="24" t="inlineStr">
        <is>
          <t>2026-10-01</t>
        </is>
      </c>
      <c r="F34" s="14" t="inlineStr">
        <is>
          <t>Not Started</t>
        </is>
      </c>
    </row>
    <row r="35">
      <c r="A35" s="9" t="inlineStr">
        <is>
          <t>PSY262</t>
        </is>
      </c>
      <c r="B35" s="10" t="inlineStr">
        <is>
          <t>Assignment 4</t>
        </is>
      </c>
      <c r="C35" s="10" t="inlineStr">
        <is>
          <t>In-Class Assignments</t>
        </is>
      </c>
      <c r="D35" s="12" t="n">
        <v>0.025</v>
      </c>
      <c r="E35" s="24" t="inlineStr">
        <is>
          <t>2026-10-02</t>
        </is>
      </c>
      <c r="F35" s="14" t="inlineStr">
        <is>
          <t>Not Started</t>
        </is>
      </c>
    </row>
    <row r="36">
      <c r="A36" s="9" t="inlineStr">
        <is>
          <t>PSY262</t>
        </is>
      </c>
      <c r="B36" s="10" t="inlineStr">
        <is>
          <t>Quiz 1</t>
        </is>
      </c>
      <c r="C36" s="10" t="inlineStr">
        <is>
          <t>Quiz 1</t>
        </is>
      </c>
      <c r="D36" s="12" t="n">
        <v>0.2</v>
      </c>
      <c r="E36" s="24" t="inlineStr">
        <is>
          <t>2026-10-02</t>
        </is>
      </c>
      <c r="F36" s="14" t="inlineStr">
        <is>
          <t>Not Started</t>
        </is>
      </c>
    </row>
    <row r="37">
      <c r="A37" s="9" t="inlineStr">
        <is>
          <t>SEC320</t>
        </is>
      </c>
      <c r="B37" s="10" t="inlineStr">
        <is>
          <t>Lab 3</t>
        </is>
      </c>
      <c r="C37" s="10" t="inlineStr">
        <is>
          <t>Labs</t>
        </is>
      </c>
      <c r="D37" s="12" t="n">
        <v>0.04</v>
      </c>
      <c r="E37" s="24" t="inlineStr">
        <is>
          <t>2026-10-2</t>
        </is>
      </c>
      <c r="F37" s="14" t="inlineStr">
        <is>
          <t>Not Started</t>
        </is>
      </c>
    </row>
    <row r="38">
      <c r="A38" s="9" t="inlineStr">
        <is>
          <t>WTP100</t>
        </is>
      </c>
      <c r="B38" s="10" t="inlineStr">
        <is>
          <t>Module 8</t>
        </is>
      </c>
      <c r="C38" s="10" t="inlineStr">
        <is>
          <t>Modules &amp; Knowledge Checks</t>
        </is>
      </c>
      <c r="D38" s="12" t="n">
        <v>0.07139999999999999</v>
      </c>
      <c r="E38" s="24" t="inlineStr">
        <is>
          <t>2026-10-02</t>
        </is>
      </c>
      <c r="F38" s="14" t="inlineStr">
        <is>
          <t>Not Started</t>
        </is>
      </c>
    </row>
    <row r="39">
      <c r="A39" s="9" t="inlineStr">
        <is>
          <t>WTP100</t>
        </is>
      </c>
      <c r="B39" s="10" t="inlineStr">
        <is>
          <t>Module 9</t>
        </is>
      </c>
      <c r="C39" s="10" t="inlineStr">
        <is>
          <t>Modules &amp; Knowledge Checks</t>
        </is>
      </c>
      <c r="D39" s="12" t="n">
        <v>0.07139999999999999</v>
      </c>
      <c r="E39" s="24" t="inlineStr">
        <is>
          <t>2026-10-02</t>
        </is>
      </c>
      <c r="F39" s="14" t="inlineStr">
        <is>
          <t>Not Started</t>
        </is>
      </c>
    </row>
    <row r="40">
      <c r="A40" s="9" t="inlineStr">
        <is>
          <t>MST300</t>
        </is>
      </c>
      <c r="B40" s="10" t="inlineStr">
        <is>
          <t>Lab 2</t>
        </is>
      </c>
      <c r="C40" s="10" t="inlineStr">
        <is>
          <t>Labs</t>
        </is>
      </c>
      <c r="D40" s="12" t="n">
        <v>0.0333</v>
      </c>
      <c r="E40" s="24" t="inlineStr">
        <is>
          <t>2026-10-6</t>
        </is>
      </c>
      <c r="F40" s="14" t="inlineStr">
        <is>
          <t>Not Started</t>
        </is>
      </c>
    </row>
    <row r="41">
      <c r="A41" s="9" t="inlineStr">
        <is>
          <t>MST300</t>
        </is>
      </c>
      <c r="B41" s="10" t="inlineStr">
        <is>
          <t>Lab 3</t>
        </is>
      </c>
      <c r="C41" s="10" t="inlineStr">
        <is>
          <t>Labs</t>
        </is>
      </c>
      <c r="D41" s="12" t="n">
        <v>0.0333</v>
      </c>
      <c r="E41" s="24" t="inlineStr">
        <is>
          <t>2026-10-6</t>
        </is>
      </c>
      <c r="F41" s="14" t="inlineStr">
        <is>
          <t>Not Started</t>
        </is>
      </c>
    </row>
    <row r="42">
      <c r="A42" s="9" t="inlineStr">
        <is>
          <t>MST300</t>
        </is>
      </c>
      <c r="B42" s="10" t="inlineStr">
        <is>
          <t>Lab 4</t>
        </is>
      </c>
      <c r="C42" s="10" t="inlineStr">
        <is>
          <t>Labs</t>
        </is>
      </c>
      <c r="D42" s="12" t="n">
        <v>0.0333</v>
      </c>
      <c r="E42" s="24" t="inlineStr">
        <is>
          <t>2026-10-6</t>
        </is>
      </c>
      <c r="F42" s="14" t="inlineStr">
        <is>
          <t>Not Started</t>
        </is>
      </c>
    </row>
    <row r="43">
      <c r="A43" s="9" t="inlineStr">
        <is>
          <t>MST300</t>
        </is>
      </c>
      <c r="B43" s="10" t="inlineStr">
        <is>
          <t>Lab 5</t>
        </is>
      </c>
      <c r="C43" s="10" t="inlineStr">
        <is>
          <t>Labs</t>
        </is>
      </c>
      <c r="D43" s="12" t="n">
        <v>0.0333</v>
      </c>
      <c r="E43" s="24" t="inlineStr">
        <is>
          <t>2026-10-6</t>
        </is>
      </c>
      <c r="F43" s="14" t="inlineStr">
        <is>
          <t>Not Started</t>
        </is>
      </c>
    </row>
    <row r="44">
      <c r="A44" s="9" t="inlineStr">
        <is>
          <t>MST300</t>
        </is>
      </c>
      <c r="B44" s="10" t="inlineStr">
        <is>
          <t>Lab 6</t>
        </is>
      </c>
      <c r="C44" s="10" t="inlineStr">
        <is>
          <t>Labs</t>
        </is>
      </c>
      <c r="D44" s="12" t="n">
        <v>0.0335</v>
      </c>
      <c r="E44" s="24" t="inlineStr">
        <is>
          <t>2026-10-6</t>
        </is>
      </c>
      <c r="F44" s="14" t="inlineStr">
        <is>
          <t>Not Started</t>
        </is>
      </c>
    </row>
    <row r="45">
      <c r="A45" s="9" t="inlineStr">
        <is>
          <t>MST300</t>
        </is>
      </c>
      <c r="B45" s="10" t="inlineStr">
        <is>
          <t>Quiz 2</t>
        </is>
      </c>
      <c r="C45" s="10" t="inlineStr">
        <is>
          <t>Quizzes</t>
        </is>
      </c>
      <c r="D45" s="12" t="n">
        <v>0.025</v>
      </c>
      <c r="E45" s="24" t="inlineStr">
        <is>
          <t>2026-10-06</t>
        </is>
      </c>
      <c r="F45" s="14" t="inlineStr">
        <is>
          <t>Not Started</t>
        </is>
      </c>
    </row>
    <row r="46">
      <c r="A46" s="9" t="inlineStr">
        <is>
          <t>CSN305</t>
        </is>
      </c>
      <c r="B46" s="10" t="inlineStr">
        <is>
          <t>Lab 4</t>
        </is>
      </c>
      <c r="C46" s="10" t="inlineStr">
        <is>
          <t>Labs</t>
        </is>
      </c>
      <c r="D46" s="12" t="n">
        <v>0.04</v>
      </c>
      <c r="E46" s="24" t="inlineStr">
        <is>
          <t>2026-10-08</t>
        </is>
      </c>
      <c r="F46" s="14" t="inlineStr">
        <is>
          <t>Not Started</t>
        </is>
      </c>
    </row>
    <row r="47">
      <c r="A47" s="9" t="inlineStr">
        <is>
          <t>DAT330</t>
        </is>
      </c>
      <c r="B47" s="10" t="inlineStr">
        <is>
          <t>Lab 3</t>
        </is>
      </c>
      <c r="C47" s="10" t="inlineStr">
        <is>
          <t>Labs</t>
        </is>
      </c>
      <c r="D47" s="12" t="n">
        <v>0.025</v>
      </c>
      <c r="E47" s="24" t="inlineStr">
        <is>
          <t>2026-10-08</t>
        </is>
      </c>
      <c r="F47" s="14" t="inlineStr">
        <is>
          <t>Not Started</t>
        </is>
      </c>
    </row>
    <row r="48">
      <c r="A48" s="9" t="inlineStr">
        <is>
          <t>PSY262</t>
        </is>
      </c>
      <c r="B48" s="10" t="inlineStr">
        <is>
          <t>Assignment 5</t>
        </is>
      </c>
      <c r="C48" s="10" t="inlineStr">
        <is>
          <t>In-Class Assignments</t>
        </is>
      </c>
      <c r="D48" s="12" t="n">
        <v>0.025</v>
      </c>
      <c r="E48" s="24" t="inlineStr">
        <is>
          <t>2026-10-09</t>
        </is>
      </c>
      <c r="F48" s="14" t="inlineStr">
        <is>
          <t>Not Started</t>
        </is>
      </c>
    </row>
    <row r="49">
      <c r="A49" s="9" t="inlineStr">
        <is>
          <t>PSY262</t>
        </is>
      </c>
      <c r="B49" s="10" t="inlineStr">
        <is>
          <t>Assignment 6</t>
        </is>
      </c>
      <c r="C49" s="10" t="inlineStr">
        <is>
          <t>In-Class Assignments</t>
        </is>
      </c>
      <c r="D49" s="12" t="n">
        <v>0.025</v>
      </c>
      <c r="E49" s="24" t="inlineStr">
        <is>
          <t>2026-10-09</t>
        </is>
      </c>
      <c r="F49" s="14" t="inlineStr">
        <is>
          <t>Not Started</t>
        </is>
      </c>
    </row>
    <row r="50">
      <c r="A50" s="9" t="inlineStr">
        <is>
          <t>SEC320</t>
        </is>
      </c>
      <c r="B50" s="10" t="inlineStr">
        <is>
          <t>Lab 4</t>
        </is>
      </c>
      <c r="C50" s="10" t="inlineStr">
        <is>
          <t>Labs</t>
        </is>
      </c>
      <c r="D50" s="12" t="n">
        <v>0.04</v>
      </c>
      <c r="E50" s="24" t="inlineStr">
        <is>
          <t>2026-10-09</t>
        </is>
      </c>
      <c r="F50" s="14" t="inlineStr">
        <is>
          <t>Not Started</t>
        </is>
      </c>
    </row>
    <row r="51">
      <c r="A51" s="9" t="inlineStr">
        <is>
          <t>MST300</t>
        </is>
      </c>
      <c r="B51" s="10" t="inlineStr">
        <is>
          <t>Lab 1</t>
        </is>
      </c>
      <c r="C51" s="10" t="inlineStr">
        <is>
          <t>Labs</t>
        </is>
      </c>
      <c r="D51" s="12" t="n">
        <v>0.0333</v>
      </c>
      <c r="E51" s="24" t="inlineStr">
        <is>
          <t>2026-10-13</t>
        </is>
      </c>
      <c r="F51" s="14" t="inlineStr">
        <is>
          <t>Not Started</t>
        </is>
      </c>
    </row>
    <row r="52">
      <c r="A52" s="9" t="inlineStr">
        <is>
          <t>MST300</t>
        </is>
      </c>
      <c r="B52" s="10" t="inlineStr">
        <is>
          <t>Quiz 3</t>
        </is>
      </c>
      <c r="C52" s="10" t="inlineStr">
        <is>
          <t>Quizzes</t>
        </is>
      </c>
      <c r="D52" s="12" t="n">
        <v>0.025</v>
      </c>
      <c r="E52" s="24" t="inlineStr">
        <is>
          <t>2026-10-13</t>
        </is>
      </c>
      <c r="F52" s="14" t="inlineStr">
        <is>
          <t>Not Started</t>
        </is>
      </c>
    </row>
    <row r="53">
      <c r="A53" s="9" t="inlineStr">
        <is>
          <t>CSN305</t>
        </is>
      </c>
      <c r="B53" s="10" t="inlineStr">
        <is>
          <t>Lab 5</t>
        </is>
      </c>
      <c r="C53" s="10" t="inlineStr">
        <is>
          <t>Labs</t>
        </is>
      </c>
      <c r="D53" s="12" t="n">
        <v>0.04</v>
      </c>
      <c r="E53" s="24" t="inlineStr">
        <is>
          <t>2026-10-15</t>
        </is>
      </c>
      <c r="F53" s="14" t="inlineStr">
        <is>
          <t>Not Started</t>
        </is>
      </c>
    </row>
    <row r="54">
      <c r="A54" s="9" t="inlineStr">
        <is>
          <t>DAT330</t>
        </is>
      </c>
      <c r="B54" s="10" t="inlineStr">
        <is>
          <t>Lab 4</t>
        </is>
      </c>
      <c r="C54" s="10" t="inlineStr">
        <is>
          <t>Labs</t>
        </is>
      </c>
      <c r="D54" s="12" t="n">
        <v>0.025</v>
      </c>
      <c r="E54" s="24" t="inlineStr">
        <is>
          <t>2026-10-15</t>
        </is>
      </c>
      <c r="F54" s="14" t="inlineStr">
        <is>
          <t>Not Started</t>
        </is>
      </c>
    </row>
    <row r="55">
      <c r="A55" s="9" t="inlineStr">
        <is>
          <t>PSY262</t>
        </is>
      </c>
      <c r="B55" s="10" t="inlineStr">
        <is>
          <t>Assignment 7</t>
        </is>
      </c>
      <c r="C55" s="10" t="inlineStr">
        <is>
          <t>In-Class Assignments</t>
        </is>
      </c>
      <c r="D55" s="12" t="n">
        <v>0.025</v>
      </c>
      <c r="E55" s="24" t="inlineStr">
        <is>
          <t>2026-10-16</t>
        </is>
      </c>
      <c r="F55" s="14" t="inlineStr">
        <is>
          <t>Not Started</t>
        </is>
      </c>
    </row>
    <row r="56">
      <c r="A56" s="9" t="inlineStr">
        <is>
          <t>SEC320</t>
        </is>
      </c>
      <c r="B56" s="10" t="inlineStr">
        <is>
          <t>Lab 5</t>
        </is>
      </c>
      <c r="C56" s="10" t="inlineStr">
        <is>
          <t>Labs</t>
        </is>
      </c>
      <c r="D56" s="12" t="n">
        <v>0.04</v>
      </c>
      <c r="E56" s="24" t="inlineStr">
        <is>
          <t>2026-10-16</t>
        </is>
      </c>
      <c r="F56" s="14" t="inlineStr">
        <is>
          <t>Not Started</t>
        </is>
      </c>
    </row>
    <row r="57">
      <c r="A57" s="9" t="inlineStr">
        <is>
          <t>DAT330</t>
        </is>
      </c>
      <c r="B57" s="10" t="inlineStr">
        <is>
          <t>Midterm Test</t>
        </is>
      </c>
      <c r="C57" s="10" t="inlineStr">
        <is>
          <t>Midterm Test</t>
        </is>
      </c>
      <c r="D57" s="12" t="n">
        <v>0.15</v>
      </c>
      <c r="E57" s="24" t="inlineStr">
        <is>
          <t>2026-10-19</t>
        </is>
      </c>
      <c r="F57" s="14" t="inlineStr">
        <is>
          <t>Not Started</t>
        </is>
      </c>
    </row>
    <row r="58">
      <c r="A58" s="9" t="inlineStr">
        <is>
          <t>OPS345</t>
        </is>
      </c>
      <c r="B58" s="10" t="inlineStr">
        <is>
          <t>Midterm Test</t>
        </is>
      </c>
      <c r="C58" s="10" t="inlineStr">
        <is>
          <t>Midterm Test</t>
        </is>
      </c>
      <c r="D58" s="12" t="n">
        <v>0.25</v>
      </c>
      <c r="E58" s="24" t="inlineStr">
        <is>
          <t>2026-10-21</t>
        </is>
      </c>
      <c r="F58" s="14" t="inlineStr">
        <is>
          <t>Not Started</t>
        </is>
      </c>
    </row>
    <row r="59">
      <c r="A59" s="9" t="inlineStr">
        <is>
          <t>CSN305</t>
        </is>
      </c>
      <c r="B59" s="10" t="inlineStr">
        <is>
          <t>Lab 6</t>
        </is>
      </c>
      <c r="C59" s="10" t="inlineStr">
        <is>
          <t>Labs</t>
        </is>
      </c>
      <c r="D59" s="12" t="n">
        <v>0.04</v>
      </c>
      <c r="E59" s="24" t="inlineStr">
        <is>
          <t>2026-10-22</t>
        </is>
      </c>
      <c r="F59" s="14" t="inlineStr">
        <is>
          <t>Not Started</t>
        </is>
      </c>
    </row>
    <row r="60">
      <c r="A60" s="9" t="inlineStr">
        <is>
          <t>CSN305</t>
        </is>
      </c>
      <c r="B60" s="10" t="inlineStr">
        <is>
          <t>Test 2</t>
        </is>
      </c>
      <c r="C60" s="10" t="inlineStr">
        <is>
          <t>Tests</t>
        </is>
      </c>
      <c r="D60" s="12" t="n">
        <v>0.15</v>
      </c>
      <c r="E60" s="24" t="inlineStr">
        <is>
          <t>2026-10-22</t>
        </is>
      </c>
      <c r="F60" s="14" t="inlineStr">
        <is>
          <t>Not Started</t>
        </is>
      </c>
    </row>
    <row r="61">
      <c r="A61" s="9" t="inlineStr">
        <is>
          <t>DAT330</t>
        </is>
      </c>
      <c r="B61" s="10" t="inlineStr">
        <is>
          <t>Assignment 2</t>
        </is>
      </c>
      <c r="C61" s="10" t="inlineStr">
        <is>
          <t>Assignments</t>
        </is>
      </c>
      <c r="D61" s="12" t="n">
        <v>0.05</v>
      </c>
      <c r="E61" s="24" t="inlineStr">
        <is>
          <t>2026-10-22</t>
        </is>
      </c>
      <c r="F61" s="14" t="inlineStr">
        <is>
          <t>Not Started</t>
        </is>
      </c>
    </row>
    <row r="62">
      <c r="A62" s="9" t="inlineStr">
        <is>
          <t>PSY262</t>
        </is>
      </c>
      <c r="B62" s="10" t="inlineStr">
        <is>
          <t>Assignment 8</t>
        </is>
      </c>
      <c r="C62" s="10" t="inlineStr">
        <is>
          <t>In-Class Assignments</t>
        </is>
      </c>
      <c r="D62" s="12" t="n">
        <v>0.025</v>
      </c>
      <c r="E62" s="24" t="inlineStr">
        <is>
          <t>2026-10-23</t>
        </is>
      </c>
      <c r="F62" s="14" t="inlineStr">
        <is>
          <t>Not Started</t>
        </is>
      </c>
    </row>
    <row r="63">
      <c r="A63" s="9" t="inlineStr">
        <is>
          <t>PSY262</t>
        </is>
      </c>
      <c r="B63" s="10" t="inlineStr">
        <is>
          <t>Assignment 9</t>
        </is>
      </c>
      <c r="C63" s="10" t="inlineStr">
        <is>
          <t>In-Class Assignments</t>
        </is>
      </c>
      <c r="D63" s="12" t="n">
        <v>0.025</v>
      </c>
      <c r="E63" s="24" t="inlineStr">
        <is>
          <t>2026-10-23</t>
        </is>
      </c>
      <c r="F63" s="14" t="inlineStr">
        <is>
          <t>Not Started</t>
        </is>
      </c>
    </row>
    <row r="64">
      <c r="A64" s="9" t="inlineStr">
        <is>
          <t>SEC320</t>
        </is>
      </c>
      <c r="B64" s="10" t="inlineStr">
        <is>
          <t>Project Proposal</t>
        </is>
      </c>
      <c r="C64" s="10" t="inlineStr">
        <is>
          <t>Final Project</t>
        </is>
      </c>
      <c r="D64" s="12" t="n">
        <v>0.05</v>
      </c>
      <c r="E64" s="24" t="inlineStr">
        <is>
          <t>2026-10-23</t>
        </is>
      </c>
      <c r="F64" s="14" t="inlineStr">
        <is>
          <t>Not Started</t>
        </is>
      </c>
    </row>
    <row r="65">
      <c r="A65" s="9" t="inlineStr">
        <is>
          <t>OPS345</t>
        </is>
      </c>
      <c r="B65" s="10" t="inlineStr">
        <is>
          <t>Lab 1</t>
        </is>
      </c>
      <c r="C65" s="10" t="inlineStr">
        <is>
          <t>Labs</t>
        </is>
      </c>
      <c r="D65" s="12" t="n">
        <v>0.02</v>
      </c>
      <c r="E65" s="24" t="inlineStr">
        <is>
          <t>2026-10-23</t>
        </is>
      </c>
      <c r="F65" s="14" t="inlineStr">
        <is>
          <t>Not Started</t>
        </is>
      </c>
    </row>
    <row r="66">
      <c r="A66" s="9" t="inlineStr">
        <is>
          <t>OPS345</t>
        </is>
      </c>
      <c r="B66" s="10" t="inlineStr">
        <is>
          <t>Lab 2</t>
        </is>
      </c>
      <c r="C66" s="10" t="inlineStr">
        <is>
          <t>Labs</t>
        </is>
      </c>
      <c r="D66" s="12" t="n">
        <v>0.02</v>
      </c>
      <c r="E66" s="24" t="inlineStr">
        <is>
          <t>2026-10-23</t>
        </is>
      </c>
      <c r="F66" s="14" t="inlineStr">
        <is>
          <t>Not Started</t>
        </is>
      </c>
    </row>
    <row r="67">
      <c r="A67" s="9" t="inlineStr">
        <is>
          <t>OPS345</t>
        </is>
      </c>
      <c r="B67" s="10" t="inlineStr">
        <is>
          <t>Lab 3</t>
        </is>
      </c>
      <c r="C67" s="10" t="inlineStr">
        <is>
          <t>Labs</t>
        </is>
      </c>
      <c r="D67" s="12" t="n">
        <v>0.02</v>
      </c>
      <c r="E67" s="24" t="inlineStr">
        <is>
          <t>2026-10-23</t>
        </is>
      </c>
      <c r="F67" s="14" t="inlineStr">
        <is>
          <t>Not Started</t>
        </is>
      </c>
    </row>
    <row r="68">
      <c r="A68" s="9" t="inlineStr">
        <is>
          <t>OPS345</t>
        </is>
      </c>
      <c r="B68" s="10" t="inlineStr">
        <is>
          <t>Lab 4</t>
        </is>
      </c>
      <c r="C68" s="10" t="inlineStr">
        <is>
          <t>Labs</t>
        </is>
      </c>
      <c r="D68" s="12" t="n">
        <v>0.02</v>
      </c>
      <c r="E68" s="24" t="inlineStr">
        <is>
          <t>2026-10-23</t>
        </is>
      </c>
      <c r="F68" s="14" t="inlineStr">
        <is>
          <t>Not Started</t>
        </is>
      </c>
    </row>
    <row r="69">
      <c r="A69" s="9" t="inlineStr">
        <is>
          <t>MST300</t>
        </is>
      </c>
      <c r="B69" s="10" t="inlineStr">
        <is>
          <t>Project 1</t>
        </is>
      </c>
      <c r="C69" s="10" t="inlineStr">
        <is>
          <t>Projects</t>
        </is>
      </c>
      <c r="D69" s="12" t="n">
        <v>0.15</v>
      </c>
      <c r="E69" s="24" t="inlineStr">
        <is>
          <t>2026-11-03</t>
        </is>
      </c>
      <c r="F69" s="14" t="inlineStr">
        <is>
          <t>Not Started</t>
        </is>
      </c>
    </row>
    <row r="70">
      <c r="A70" s="9" t="inlineStr">
        <is>
          <t>DAT330</t>
        </is>
      </c>
      <c r="B70" s="10" t="inlineStr">
        <is>
          <t>Lab 5</t>
        </is>
      </c>
      <c r="C70" s="10" t="inlineStr">
        <is>
          <t>Labs</t>
        </is>
      </c>
      <c r="D70" s="12" t="n">
        <v>0.025</v>
      </c>
      <c r="E70" s="24" t="inlineStr">
        <is>
          <t>2026-11-5</t>
        </is>
      </c>
      <c r="F70" s="14" t="inlineStr">
        <is>
          <t>Not Started</t>
        </is>
      </c>
    </row>
    <row r="71">
      <c r="A71" s="9" t="inlineStr">
        <is>
          <t>PSY262</t>
        </is>
      </c>
      <c r="B71" s="10" t="inlineStr">
        <is>
          <t>Quiz 2</t>
        </is>
      </c>
      <c r="C71" s="10" t="inlineStr">
        <is>
          <t>Quiz 2</t>
        </is>
      </c>
      <c r="D71" s="12" t="n">
        <v>0.2</v>
      </c>
      <c r="E71" s="24" t="inlineStr">
        <is>
          <t>2026-11-06</t>
        </is>
      </c>
      <c r="F71" s="14" t="inlineStr">
        <is>
          <t>Not Started</t>
        </is>
      </c>
    </row>
    <row r="72">
      <c r="A72" s="9" t="inlineStr">
        <is>
          <t>SEC320</t>
        </is>
      </c>
      <c r="B72" s="10" t="inlineStr">
        <is>
          <t>Lab 6</t>
        </is>
      </c>
      <c r="C72" s="10" t="inlineStr">
        <is>
          <t>Labs</t>
        </is>
      </c>
      <c r="D72" s="12" t="n">
        <v>0.04</v>
      </c>
      <c r="E72" s="24" t="inlineStr">
        <is>
          <t>2026-11-06</t>
        </is>
      </c>
      <c r="F72" s="14" t="inlineStr">
        <is>
          <t>Not Started</t>
        </is>
      </c>
    </row>
    <row r="73">
      <c r="A73" s="9" t="inlineStr">
        <is>
          <t>DAT330</t>
        </is>
      </c>
      <c r="B73" s="10" t="inlineStr">
        <is>
          <t>Quiz 3</t>
        </is>
      </c>
      <c r="C73" s="10" t="inlineStr">
        <is>
          <t>Quizzes</t>
        </is>
      </c>
      <c r="D73" s="12" t="n">
        <v>0.02</v>
      </c>
      <c r="E73" s="24" t="inlineStr">
        <is>
          <t>2026-11-09</t>
        </is>
      </c>
      <c r="F73" s="14" t="inlineStr">
        <is>
          <t>Not Started</t>
        </is>
      </c>
    </row>
    <row r="74">
      <c r="A74" s="9" t="inlineStr">
        <is>
          <t>MST300</t>
        </is>
      </c>
      <c r="B74" s="10" t="inlineStr">
        <is>
          <t>Quiz 4</t>
        </is>
      </c>
      <c r="C74" s="10" t="inlineStr">
        <is>
          <t>Quizzes</t>
        </is>
      </c>
      <c r="D74" s="12" t="n">
        <v>0.025</v>
      </c>
      <c r="E74" s="24" t="inlineStr">
        <is>
          <t>2026-11-10</t>
        </is>
      </c>
      <c r="F74" s="14" t="inlineStr">
        <is>
          <t>Not Started</t>
        </is>
      </c>
    </row>
    <row r="75">
      <c r="A75" s="9" t="inlineStr">
        <is>
          <t>CSN305</t>
        </is>
      </c>
      <c r="B75" s="10" t="inlineStr">
        <is>
          <t>Lab 7</t>
        </is>
      </c>
      <c r="C75" s="10" t="inlineStr">
        <is>
          <t>Labs</t>
        </is>
      </c>
      <c r="D75" s="12" t="n">
        <v>0.04</v>
      </c>
      <c r="E75" s="24" t="inlineStr">
        <is>
          <t>2026-11-12</t>
        </is>
      </c>
      <c r="F75" s="14" t="inlineStr">
        <is>
          <t>Not Started</t>
        </is>
      </c>
    </row>
    <row r="76">
      <c r="A76" s="9" t="inlineStr">
        <is>
          <t>DAT330</t>
        </is>
      </c>
      <c r="B76" s="10" t="inlineStr">
        <is>
          <t>Lab 6</t>
        </is>
      </c>
      <c r="C76" s="10" t="inlineStr">
        <is>
          <t>Labs</t>
        </is>
      </c>
      <c r="D76" s="12" t="n">
        <v>0.025</v>
      </c>
      <c r="E76" s="24" t="inlineStr">
        <is>
          <t>2026-11-12</t>
        </is>
      </c>
      <c r="F76" s="14" t="inlineStr">
        <is>
          <t>Not Started</t>
        </is>
      </c>
    </row>
    <row r="77">
      <c r="A77" s="9" t="inlineStr">
        <is>
          <t>SEC320</t>
        </is>
      </c>
      <c r="B77" s="10" t="inlineStr">
        <is>
          <t>Lab 7</t>
        </is>
      </c>
      <c r="C77" s="10" t="inlineStr">
        <is>
          <t>Labs</t>
        </is>
      </c>
      <c r="D77" s="12" t="n">
        <v>0.04</v>
      </c>
      <c r="E77" s="24" t="inlineStr">
        <is>
          <t>2026-11-13</t>
        </is>
      </c>
      <c r="F77" s="14" t="inlineStr">
        <is>
          <t>Not Started</t>
        </is>
      </c>
    </row>
    <row r="78">
      <c r="A78" s="9" t="inlineStr">
        <is>
          <t>CSN305</t>
        </is>
      </c>
      <c r="B78" s="10" t="inlineStr">
        <is>
          <t>Lab 8</t>
        </is>
      </c>
      <c r="C78" s="10" t="inlineStr">
        <is>
          <t>Labs</t>
        </is>
      </c>
      <c r="D78" s="12" t="n">
        <v>0.04</v>
      </c>
      <c r="E78" s="24" t="inlineStr">
        <is>
          <t>2026-11-19</t>
        </is>
      </c>
      <c r="F78" s="14" t="inlineStr">
        <is>
          <t>Not Started</t>
        </is>
      </c>
    </row>
    <row r="79">
      <c r="A79" s="9" t="inlineStr">
        <is>
          <t>CSN305</t>
        </is>
      </c>
      <c r="B79" s="10" t="inlineStr">
        <is>
          <t>Test 3</t>
        </is>
      </c>
      <c r="C79" s="10" t="inlineStr">
        <is>
          <t>Tests</t>
        </is>
      </c>
      <c r="D79" s="12" t="n">
        <v>0.15</v>
      </c>
      <c r="E79" s="24" t="inlineStr">
        <is>
          <t>2026-11-19</t>
        </is>
      </c>
      <c r="F79" s="14" t="inlineStr">
        <is>
          <t>Not Started</t>
        </is>
      </c>
    </row>
    <row r="80">
      <c r="A80" s="9" t="inlineStr">
        <is>
          <t>DAT330</t>
        </is>
      </c>
      <c r="B80" s="10" t="inlineStr">
        <is>
          <t>Lab 7</t>
        </is>
      </c>
      <c r="C80" s="10" t="inlineStr">
        <is>
          <t>Labs</t>
        </is>
      </c>
      <c r="D80" s="12" t="n">
        <v>0.025</v>
      </c>
      <c r="E80" s="24" t="inlineStr">
        <is>
          <t>2026-11-19</t>
        </is>
      </c>
      <c r="F80" s="14" t="inlineStr">
        <is>
          <t>Not Started</t>
        </is>
      </c>
    </row>
    <row r="81">
      <c r="A81" s="9" t="inlineStr">
        <is>
          <t>SEC320</t>
        </is>
      </c>
      <c r="B81" s="10" t="inlineStr">
        <is>
          <t>Lab 8</t>
        </is>
      </c>
      <c r="C81" s="10" t="inlineStr">
        <is>
          <t>Labs</t>
        </is>
      </c>
      <c r="D81" s="12" t="n">
        <v>0.04</v>
      </c>
      <c r="E81" s="24" t="inlineStr">
        <is>
          <t>2026-11-20</t>
        </is>
      </c>
      <c r="F81" s="14" t="inlineStr">
        <is>
          <t>Not Started</t>
        </is>
      </c>
    </row>
    <row r="82">
      <c r="A82" s="9" t="inlineStr">
        <is>
          <t>DAT330</t>
        </is>
      </c>
      <c r="B82" s="10" t="inlineStr">
        <is>
          <t>Quiz 4</t>
        </is>
      </c>
      <c r="C82" s="10" t="inlineStr">
        <is>
          <t>Quizzes</t>
        </is>
      </c>
      <c r="D82" s="12" t="n">
        <v>0.02</v>
      </c>
      <c r="E82" s="24" t="inlineStr">
        <is>
          <t>2026-11-23</t>
        </is>
      </c>
      <c r="F82" s="14" t="inlineStr">
        <is>
          <t>Not Started</t>
        </is>
      </c>
    </row>
    <row r="83">
      <c r="A83" s="9" t="inlineStr">
        <is>
          <t>DAT330</t>
        </is>
      </c>
      <c r="B83" s="10" t="inlineStr">
        <is>
          <t>Assignment 3</t>
        </is>
      </c>
      <c r="C83" s="10" t="inlineStr">
        <is>
          <t>Assignments</t>
        </is>
      </c>
      <c r="D83" s="12" t="n">
        <v>0.05</v>
      </c>
      <c r="E83" s="24" t="inlineStr">
        <is>
          <t>2026-11-26</t>
        </is>
      </c>
      <c r="F83" s="14" t="inlineStr">
        <is>
          <t>Not Started</t>
        </is>
      </c>
    </row>
    <row r="84">
      <c r="A84" s="9" t="inlineStr">
        <is>
          <t>SEC320</t>
        </is>
      </c>
      <c r="B84" s="10" t="inlineStr">
        <is>
          <t>Lab 9</t>
        </is>
      </c>
      <c r="C84" s="10" t="inlineStr">
        <is>
          <t>Labs</t>
        </is>
      </c>
      <c r="D84" s="12" t="n">
        <v>0.04</v>
      </c>
      <c r="E84" s="24" t="inlineStr">
        <is>
          <t>2026-11-27</t>
        </is>
      </c>
      <c r="F84" s="14" t="inlineStr">
        <is>
          <t>Not Started</t>
        </is>
      </c>
    </row>
    <row r="85">
      <c r="A85" s="9" t="inlineStr">
        <is>
          <t>DAT330</t>
        </is>
      </c>
      <c r="B85" s="10" t="inlineStr">
        <is>
          <t>Quiz 5</t>
        </is>
      </c>
      <c r="C85" s="10" t="inlineStr">
        <is>
          <t>Quizzes</t>
        </is>
      </c>
      <c r="D85" s="12" t="n">
        <v>0.02</v>
      </c>
      <c r="E85" s="24" t="inlineStr">
        <is>
          <t>2026-11-30</t>
        </is>
      </c>
      <c r="F85" s="14" t="inlineStr">
        <is>
          <t>Not Started</t>
        </is>
      </c>
    </row>
    <row r="86">
      <c r="A86" s="9" t="inlineStr">
        <is>
          <t>SEC320</t>
        </is>
      </c>
      <c r="B86" s="10" t="inlineStr">
        <is>
          <t>Project Presentation</t>
        </is>
      </c>
      <c r="C86" s="10" t="inlineStr">
        <is>
          <t>Final Project</t>
        </is>
      </c>
      <c r="D86" s="12" t="n">
        <v>0.1</v>
      </c>
      <c r="E86" s="24" t="inlineStr">
        <is>
          <t>2026-11-30</t>
        </is>
      </c>
      <c r="F86" s="14" t="inlineStr">
        <is>
          <t>Not Started</t>
        </is>
      </c>
    </row>
    <row r="87">
      <c r="A87" s="9" t="inlineStr">
        <is>
          <t>MST300</t>
        </is>
      </c>
      <c r="B87" s="10" t="inlineStr">
        <is>
          <t>Quiz 5</t>
        </is>
      </c>
      <c r="C87" s="10" t="inlineStr">
        <is>
          <t>Quizzes</t>
        </is>
      </c>
      <c r="D87" s="12" t="n">
        <v>0.025</v>
      </c>
      <c r="E87" s="24" t="inlineStr">
        <is>
          <t>2026-12-01</t>
        </is>
      </c>
      <c r="F87" s="14" t="inlineStr">
        <is>
          <t>Not Started</t>
        </is>
      </c>
    </row>
    <row r="88">
      <c r="A88" s="9" t="inlineStr">
        <is>
          <t>CSN305</t>
        </is>
      </c>
      <c r="B88" s="10" t="inlineStr">
        <is>
          <t>Lab 9</t>
        </is>
      </c>
      <c r="C88" s="10" t="inlineStr">
        <is>
          <t>Labs</t>
        </is>
      </c>
      <c r="D88" s="12" t="n">
        <v>0.04</v>
      </c>
      <c r="E88" s="24" t="inlineStr">
        <is>
          <t>2026-12-3</t>
        </is>
      </c>
      <c r="F88" s="14" t="inlineStr">
        <is>
          <t>Not Started</t>
        </is>
      </c>
    </row>
    <row r="89">
      <c r="A89" s="9" t="inlineStr">
        <is>
          <t>DAT330</t>
        </is>
      </c>
      <c r="B89" s="10" t="inlineStr">
        <is>
          <t>Lab 8</t>
        </is>
      </c>
      <c r="C89" s="10" t="inlineStr">
        <is>
          <t>Labs</t>
        </is>
      </c>
      <c r="D89" s="12" t="n">
        <v>0.025</v>
      </c>
      <c r="E89" s="24" t="inlineStr">
        <is>
          <t>2026-12-3</t>
        </is>
      </c>
      <c r="F89" s="14" t="inlineStr">
        <is>
          <t>Not Started</t>
        </is>
      </c>
    </row>
    <row r="90">
      <c r="A90" s="9" t="inlineStr">
        <is>
          <t>DAT330</t>
        </is>
      </c>
      <c r="B90" s="10" t="inlineStr">
        <is>
          <t>Final Project</t>
        </is>
      </c>
      <c r="C90" s="10" t="inlineStr">
        <is>
          <t>Final Project</t>
        </is>
      </c>
      <c r="D90" s="12" t="n">
        <v>0.15</v>
      </c>
      <c r="E90" s="24" t="inlineStr">
        <is>
          <t>2026-12-07</t>
        </is>
      </c>
      <c r="F90" s="14" t="inlineStr">
        <is>
          <t>Not Started</t>
        </is>
      </c>
    </row>
    <row r="91">
      <c r="A91" s="9" t="inlineStr">
        <is>
          <t>MST300</t>
        </is>
      </c>
      <c r="B91" s="10" t="inlineStr">
        <is>
          <t>Quiz 6</t>
        </is>
      </c>
      <c r="C91" s="10" t="inlineStr">
        <is>
          <t>Quizzes</t>
        </is>
      </c>
      <c r="D91" s="12" t="n">
        <v>0.025</v>
      </c>
      <c r="E91" s="24" t="inlineStr">
        <is>
          <t>2026-12-08</t>
        </is>
      </c>
      <c r="F91" s="14" t="inlineStr">
        <is>
          <t>Not Started</t>
        </is>
      </c>
    </row>
    <row r="92">
      <c r="A92" s="9" t="inlineStr">
        <is>
          <t>MST300</t>
        </is>
      </c>
      <c r="B92" s="10" t="inlineStr">
        <is>
          <t>Project 2</t>
        </is>
      </c>
      <c r="C92" s="10" t="inlineStr">
        <is>
          <t>Projects</t>
        </is>
      </c>
      <c r="D92" s="12" t="n">
        <v>0.15</v>
      </c>
      <c r="E92" s="24" t="inlineStr">
        <is>
          <t>2026-12-08</t>
        </is>
      </c>
      <c r="F92" s="14" t="inlineStr">
        <is>
          <t>Not Started</t>
        </is>
      </c>
    </row>
    <row r="93">
      <c r="A93" s="9" t="inlineStr">
        <is>
          <t>CSN305</t>
        </is>
      </c>
      <c r="B93" s="10" t="inlineStr">
        <is>
          <t>Test 4</t>
        </is>
      </c>
      <c r="C93" s="10" t="inlineStr">
        <is>
          <t>Tests</t>
        </is>
      </c>
      <c r="D93" s="12" t="n">
        <v>0.15</v>
      </c>
      <c r="E93" s="24" t="inlineStr">
        <is>
          <t>2026-12-10</t>
        </is>
      </c>
      <c r="F93" s="14" t="inlineStr">
        <is>
          <t>Not Started</t>
        </is>
      </c>
    </row>
    <row r="94">
      <c r="A94" s="9" t="inlineStr">
        <is>
          <t>PSY262</t>
        </is>
      </c>
      <c r="B94" s="10" t="inlineStr">
        <is>
          <t>Final Exam</t>
        </is>
      </c>
      <c r="C94" s="10" t="inlineStr">
        <is>
          <t>Final Exam</t>
        </is>
      </c>
      <c r="D94" s="12" t="n">
        <v>0.25</v>
      </c>
      <c r="E94" s="24" t="inlineStr">
        <is>
          <t>2026-12-11</t>
        </is>
      </c>
      <c r="F94" s="14" t="inlineStr">
        <is>
          <t>Not Started</t>
        </is>
      </c>
    </row>
    <row r="95">
      <c r="A95" s="9" t="inlineStr">
        <is>
          <t>DAT330</t>
        </is>
      </c>
      <c r="B95" s="10" t="inlineStr">
        <is>
          <t>Budget Allotment</t>
        </is>
      </c>
      <c r="C95" s="10" t="inlineStr">
        <is>
          <t>Management of Budget Allotment</t>
        </is>
      </c>
      <c r="D95" s="12" t="n">
        <v>0.1</v>
      </c>
      <c r="E95" s="24" t="inlineStr">
        <is>
          <t>TBA</t>
        </is>
      </c>
      <c r="F95" s="14" t="inlineStr">
        <is>
          <t>Not Started</t>
        </is>
      </c>
    </row>
    <row r="96">
      <c r="A96" s="9" t="inlineStr">
        <is>
          <t>DAT330</t>
        </is>
      </c>
      <c r="B96" s="10" t="inlineStr">
        <is>
          <t>Final Test</t>
        </is>
      </c>
      <c r="C96" s="10" t="inlineStr">
        <is>
          <t>Final Test</t>
        </is>
      </c>
      <c r="D96" s="12" t="n">
        <v>0.15</v>
      </c>
      <c r="E96" s="24" t="inlineStr">
        <is>
          <t>TBA</t>
        </is>
      </c>
      <c r="F96" s="14" t="inlineStr">
        <is>
          <t>Not Started</t>
        </is>
      </c>
    </row>
    <row r="97">
      <c r="A97" s="9" t="inlineStr">
        <is>
          <t>MST300</t>
        </is>
      </c>
      <c r="B97" s="10" t="inlineStr">
        <is>
          <t>Budget Allotment</t>
        </is>
      </c>
      <c r="C97" s="10" t="inlineStr">
        <is>
          <t>Management of Budget Allotment</t>
        </is>
      </c>
      <c r="D97" s="12" t="n">
        <v>0.1</v>
      </c>
      <c r="E97" s="24" t="inlineStr">
        <is>
          <t>TBA</t>
        </is>
      </c>
      <c r="F97" s="14" t="inlineStr">
        <is>
          <t>Not Started</t>
        </is>
      </c>
    </row>
    <row r="98">
      <c r="A98" s="9" t="inlineStr">
        <is>
          <t>MST300</t>
        </is>
      </c>
      <c r="B98" s="10" t="inlineStr">
        <is>
          <t>Midterm Test</t>
        </is>
      </c>
      <c r="C98" s="10" t="inlineStr">
        <is>
          <t>Tests</t>
        </is>
      </c>
      <c r="D98" s="12" t="n">
        <v>0.1</v>
      </c>
      <c r="E98" s="24" t="inlineStr">
        <is>
          <t>TBA</t>
        </is>
      </c>
      <c r="F98" s="14" t="inlineStr">
        <is>
          <t>Not Started</t>
        </is>
      </c>
    </row>
    <row r="99">
      <c r="A99" s="9" t="inlineStr">
        <is>
          <t>MST300</t>
        </is>
      </c>
      <c r="B99" s="10" t="inlineStr">
        <is>
          <t>Final Test</t>
        </is>
      </c>
      <c r="C99" s="10" t="inlineStr">
        <is>
          <t>Tests</t>
        </is>
      </c>
      <c r="D99" s="12" t="n">
        <v>0.15</v>
      </c>
      <c r="E99" s="24" t="inlineStr">
        <is>
          <t>TBA</t>
        </is>
      </c>
      <c r="F99" s="14" t="inlineStr">
        <is>
          <t>Not Started</t>
        </is>
      </c>
    </row>
    <row r="100">
      <c r="A100" s="9" t="inlineStr">
        <is>
          <t>PSY262</t>
        </is>
      </c>
      <c r="B100" s="10" t="inlineStr">
        <is>
          <t>Writing Assignment</t>
        </is>
      </c>
      <c r="C100" s="10" t="inlineStr">
        <is>
          <t>Writing Assignment</t>
        </is>
      </c>
      <c r="D100" s="12" t="n">
        <v>0.1</v>
      </c>
      <c r="E100" s="24" t="inlineStr">
        <is>
          <t>TBA</t>
        </is>
      </c>
      <c r="F100" s="14" t="inlineStr">
        <is>
          <t>Not Started</t>
        </is>
      </c>
    </row>
    <row r="101">
      <c r="A101" s="9" t="inlineStr">
        <is>
          <t>SEC320</t>
        </is>
      </c>
      <c r="B101" s="10" t="inlineStr">
        <is>
          <t>Practical Test 1</t>
        </is>
      </c>
      <c r="C101" s="10" t="inlineStr">
        <is>
          <t>Practical Tests</t>
        </is>
      </c>
      <c r="D101" s="12" t="n">
        <v>0.15</v>
      </c>
      <c r="E101" s="24" t="inlineStr">
        <is>
          <t>TBA</t>
        </is>
      </c>
      <c r="F101" s="14" t="inlineStr">
        <is>
          <t>Not Started</t>
        </is>
      </c>
    </row>
    <row r="102">
      <c r="A102" s="9" t="inlineStr">
        <is>
          <t>SEC320</t>
        </is>
      </c>
      <c r="B102" s="10" t="inlineStr">
        <is>
          <t>Practical Test 2</t>
        </is>
      </c>
      <c r="C102" s="10" t="inlineStr">
        <is>
          <t>Practical Tests</t>
        </is>
      </c>
      <c r="D102" s="12" t="n">
        <v>0.15</v>
      </c>
      <c r="E102" s="24" t="inlineStr">
        <is>
          <t>TBA</t>
        </is>
      </c>
      <c r="F102" s="14" t="inlineStr">
        <is>
          <t>Not Started</t>
        </is>
      </c>
    </row>
    <row r="103">
      <c r="A103" s="9" t="inlineStr">
        <is>
          <t>SEC320</t>
        </is>
      </c>
      <c r="B103" s="10" t="inlineStr">
        <is>
          <t>Final Report</t>
        </is>
      </c>
      <c r="C103" s="10" t="inlineStr">
        <is>
          <t>Final Project</t>
        </is>
      </c>
      <c r="D103" s="12" t="n">
        <v>0.15</v>
      </c>
      <c r="E103" s="24" t="inlineStr">
        <is>
          <t>TBA</t>
        </is>
      </c>
      <c r="F103" s="14" t="inlineStr">
        <is>
          <t>Not Started</t>
        </is>
      </c>
    </row>
    <row r="104">
      <c r="A104" s="9" t="inlineStr">
        <is>
          <t>OPS345</t>
        </is>
      </c>
      <c r="B104" s="10" t="inlineStr">
        <is>
          <t>Lab 5</t>
        </is>
      </c>
      <c r="C104" s="10" t="inlineStr">
        <is>
          <t>Labs</t>
        </is>
      </c>
      <c r="D104" s="12" t="n">
        <v>0.02</v>
      </c>
      <c r="E104" s="24" t="inlineStr">
        <is>
          <t>TBA</t>
        </is>
      </c>
      <c r="F104" s="14" t="inlineStr">
        <is>
          <t>Not Started</t>
        </is>
      </c>
    </row>
    <row r="105">
      <c r="A105" s="9" t="inlineStr">
        <is>
          <t>OPS345</t>
        </is>
      </c>
      <c r="B105" s="10" t="inlineStr">
        <is>
          <t>Lab 6</t>
        </is>
      </c>
      <c r="C105" s="10" t="inlineStr">
        <is>
          <t>Labs</t>
        </is>
      </c>
      <c r="D105" s="12" t="n">
        <v>0.02</v>
      </c>
      <c r="E105" s="24" t="inlineStr">
        <is>
          <t>TBA</t>
        </is>
      </c>
      <c r="F105" s="14" t="inlineStr">
        <is>
          <t>Not Started</t>
        </is>
      </c>
    </row>
    <row r="106">
      <c r="A106" s="9" t="inlineStr">
        <is>
          <t>OPS345</t>
        </is>
      </c>
      <c r="B106" s="10" t="inlineStr">
        <is>
          <t>Lab 7</t>
        </is>
      </c>
      <c r="C106" s="10" t="inlineStr">
        <is>
          <t>Labs</t>
        </is>
      </c>
      <c r="D106" s="12" t="n">
        <v>0.02</v>
      </c>
      <c r="E106" s="24" t="inlineStr">
        <is>
          <t>TBA</t>
        </is>
      </c>
      <c r="F106" s="14" t="inlineStr">
        <is>
          <t>Not Started</t>
        </is>
      </c>
    </row>
    <row r="107">
      <c r="A107" s="9" t="inlineStr">
        <is>
          <t>OPS345</t>
        </is>
      </c>
      <c r="B107" s="10" t="inlineStr">
        <is>
          <t>Lab 8</t>
        </is>
      </c>
      <c r="C107" s="10" t="inlineStr">
        <is>
          <t>Labs</t>
        </is>
      </c>
      <c r="D107" s="12" t="n">
        <v>0.02</v>
      </c>
      <c r="E107" s="24" t="inlineStr">
        <is>
          <t>TBA</t>
        </is>
      </c>
      <c r="F107" s="14" t="inlineStr">
        <is>
          <t>Not Started</t>
        </is>
      </c>
    </row>
    <row r="108">
      <c r="A108" s="9" t="inlineStr">
        <is>
          <t>OPS345</t>
        </is>
      </c>
      <c r="B108" s="10" t="inlineStr">
        <is>
          <t>Assignment 1</t>
        </is>
      </c>
      <c r="C108" s="10" t="inlineStr">
        <is>
          <t>Assignments</t>
        </is>
      </c>
      <c r="D108" s="12" t="n">
        <v>0.15</v>
      </c>
      <c r="E108" s="24" t="inlineStr">
        <is>
          <t>TBA</t>
        </is>
      </c>
      <c r="F108" s="14" t="inlineStr">
        <is>
          <t>Not Started</t>
        </is>
      </c>
    </row>
    <row r="109">
      <c r="A109" s="9" t="inlineStr">
        <is>
          <t>OPS345</t>
        </is>
      </c>
      <c r="B109" s="10" t="inlineStr">
        <is>
          <t>Assignment 2</t>
        </is>
      </c>
      <c r="C109" s="10" t="inlineStr">
        <is>
          <t>Assignments</t>
        </is>
      </c>
      <c r="D109" s="12" t="n">
        <v>0.15</v>
      </c>
      <c r="E109" s="24" t="inlineStr">
        <is>
          <t>TBA</t>
        </is>
      </c>
      <c r="F109" s="14" t="inlineStr">
        <is>
          <t>Not Started</t>
        </is>
      </c>
    </row>
    <row r="110">
      <c r="A110" s="9" t="inlineStr">
        <is>
          <t>OPS345</t>
        </is>
      </c>
      <c r="B110" s="10" t="inlineStr">
        <is>
          <t>Quiz 1</t>
        </is>
      </c>
      <c r="C110" s="10" t="inlineStr">
        <is>
          <t>Quizzes</t>
        </is>
      </c>
      <c r="D110" s="12" t="n">
        <v>0.01</v>
      </c>
      <c r="E110" s="24" t="inlineStr">
        <is>
          <t>TBA</t>
        </is>
      </c>
      <c r="F110" s="14" t="inlineStr">
        <is>
          <t>Not Started</t>
        </is>
      </c>
    </row>
    <row r="111">
      <c r="A111" s="9" t="inlineStr">
        <is>
          <t>OPS345</t>
        </is>
      </c>
      <c r="B111" s="10" t="inlineStr">
        <is>
          <t>Quiz 2</t>
        </is>
      </c>
      <c r="C111" s="10" t="inlineStr">
        <is>
          <t>Quizzes</t>
        </is>
      </c>
      <c r="D111" s="12" t="n">
        <v>0.01</v>
      </c>
      <c r="E111" s="24" t="inlineStr">
        <is>
          <t>TBA</t>
        </is>
      </c>
      <c r="F111" s="14" t="inlineStr">
        <is>
          <t>Not Started</t>
        </is>
      </c>
    </row>
    <row r="112">
      <c r="A112" s="9" t="inlineStr">
        <is>
          <t>OPS345</t>
        </is>
      </c>
      <c r="B112" s="10" t="inlineStr">
        <is>
          <t>Quiz 3</t>
        </is>
      </c>
      <c r="C112" s="10" t="inlineStr">
        <is>
          <t>Quizzes</t>
        </is>
      </c>
      <c r="D112" s="12" t="n">
        <v>0.01</v>
      </c>
      <c r="E112" s="24" t="inlineStr">
        <is>
          <t>TBA</t>
        </is>
      </c>
      <c r="F112" s="14" t="inlineStr">
        <is>
          <t>Not Started</t>
        </is>
      </c>
    </row>
    <row r="113">
      <c r="A113" s="9" t="inlineStr">
        <is>
          <t>OPS345</t>
        </is>
      </c>
      <c r="B113" s="10" t="inlineStr">
        <is>
          <t>Quiz 4</t>
        </is>
      </c>
      <c r="C113" s="10" t="inlineStr">
        <is>
          <t>Quizzes</t>
        </is>
      </c>
      <c r="D113" s="12" t="n">
        <v>0.01</v>
      </c>
      <c r="E113" s="24" t="inlineStr">
        <is>
          <t>TBA</t>
        </is>
      </c>
      <c r="F113" s="14" t="inlineStr">
        <is>
          <t>Not Started</t>
        </is>
      </c>
    </row>
    <row r="114">
      <c r="A114" s="9" t="inlineStr">
        <is>
          <t>OPS345</t>
        </is>
      </c>
      <c r="B114" s="10" t="inlineStr">
        <is>
          <t>Final Test</t>
        </is>
      </c>
      <c r="C114" s="10" t="inlineStr">
        <is>
          <t>Final Test</t>
        </is>
      </c>
      <c r="D114" s="12" t="n">
        <v>0.25</v>
      </c>
      <c r="E114" s="24" t="inlineStr">
        <is>
          <t>TBA</t>
        </is>
      </c>
      <c r="F114" s="14" t="inlineStr">
        <is>
          <t>Not Started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2026-09-14T04:45:13Z</dcterms:created>
  <dcterms:modified xmlns:dcterms="http://purl.org/dc/terms/" xmlns:xsi="http://www.w3.org/2001/XMLSchema-instance" xsi:type="dcterms:W3CDTF">2026-09-14T04:45:13Z</dcterms:modified>
</cp:coreProperties>
</file>