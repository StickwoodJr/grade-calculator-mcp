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GPA" sheetId="1" state="visible" r:id="rId1"/>
    <sheet xmlns:r="http://schemas.openxmlformats.org/officeDocument/2006/relationships" name="CSN305" sheetId="2" state="visible" r:id="rId2"/>
    <sheet xmlns:r="http://schemas.openxmlformats.org/officeDocument/2006/relationships" name="DAT330" sheetId="3" state="visible" r:id="rId3"/>
    <sheet xmlns:r="http://schemas.openxmlformats.org/officeDocument/2006/relationships" name="MST300" sheetId="4" state="visible" r:id="rId4"/>
    <sheet xmlns:r="http://schemas.openxmlformats.org/officeDocument/2006/relationships" name="PSY262" sheetId="5" state="visible" r:id="rId5"/>
    <sheet xmlns:r="http://schemas.openxmlformats.org/officeDocument/2006/relationships" name="SEC320" sheetId="6" state="visible" r:id="rId6"/>
    <sheet xmlns:r="http://schemas.openxmlformats.org/officeDocument/2006/relationships" name="OPS345" sheetId="7" state="visible" r:id="rId7"/>
    <sheet xmlns:r="http://schemas.openxmlformats.org/officeDocument/2006/relationships" name="WTP100" sheetId="8" state="visible" r:id="rId8"/>
    <sheet xmlns:r="http://schemas.openxmlformats.org/officeDocument/2006/relationships" name="What-If Simulator" sheetId="9" state="visible" r:id="rId9"/>
    <sheet xmlns:r="http://schemas.openxmlformats.org/officeDocument/2006/relationships" name="Timeline &amp; Milesto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0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b val="1"/>
      <color rgb="00FFFFFF"/>
      <sz val="9.5"/>
    </font>
    <font>
      <name val="Segoe UI"/>
      <i val="1"/>
      <color rgb="0064748B"/>
      <sz val="9.5"/>
    </font>
    <font>
      <name val="Segoe UI"/>
      <b val="1"/>
      <color rgb="0092400E"/>
      <sz val="8.5"/>
    </font>
    <font>
      <name val="Segoe UI"/>
      <i val="1"/>
      <color rgb="001E40AF"/>
      <sz val="8.5"/>
    </font>
    <font>
      <name val="Segoe UI"/>
      <color rgb="0064748B"/>
      <sz val="9"/>
    </font>
    <font>
      <name val="Segoe UI"/>
      <b val="1"/>
      <color rgb="000F172A"/>
      <sz val="9.5"/>
    </font>
    <font>
      <name val="Segoe UI"/>
      <color rgb="000F172A"/>
      <sz val="9.5"/>
    </font>
    <font>
      <name val="Segoe UI"/>
      <b val="1"/>
      <color rgb="001E40AF"/>
      <sz val="9.5"/>
    </font>
    <font>
      <name val="Segoe UI"/>
      <b val="1"/>
      <color rgb="00475569"/>
      <sz val="8.5"/>
    </font>
    <font>
      <name val="Segoe UI"/>
      <i val="1"/>
      <color rgb="0064748B"/>
      <sz val="8.5"/>
    </font>
    <font>
      <name val="Segoe UI"/>
      <i val="1"/>
      <color rgb="0092400E"/>
      <sz val="8.5"/>
    </font>
    <font>
      <name val="Segoe UI"/>
      <b val="1"/>
      <color rgb="000F172A"/>
      <sz val="17"/>
    </font>
    <font>
      <name val="Segoe UI"/>
      <i val="1"/>
      <color rgb="0064748B"/>
      <sz val="8"/>
    </font>
    <font>
      <name val="Segoe UI"/>
      <b val="1"/>
      <color rgb="00166534"/>
      <sz val="8.5"/>
    </font>
    <font>
      <name val="Segoe UI"/>
      <b val="1"/>
      <color rgb="002563EB"/>
      <sz val="9.5"/>
      <u val="single"/>
    </font>
    <font>
      <name val="Segoe UI"/>
      <b val="1"/>
      <color rgb="00FFFFFF"/>
      <sz val="9"/>
    </font>
    <font>
      <name val="Segoe UI"/>
      <color rgb="0064748B"/>
      <sz val="8.5"/>
    </font>
    <font>
      <name val="Segoe UI"/>
      <color rgb="000F172A"/>
      <sz val="8.5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5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double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4" borderId="2" applyAlignment="1" pivotButton="0" quotePrefix="0" xfId="0">
      <alignment vertical="center" indent="1"/>
    </xf>
    <xf numFmtId="0" fontId="10" fillId="7" borderId="4" applyAlignment="1" pivotButton="0" quotePrefix="0" xfId="0">
      <alignment horizontal="center" vertical="center"/>
    </xf>
    <xf numFmtId="2" fontId="13" fillId="7" borderId="4" applyAlignment="1" pivotButton="0" quotePrefix="0" xfId="0">
      <alignment horizontal="center" vertical="center"/>
    </xf>
    <xf numFmtId="164" fontId="13" fillId="7" borderId="4" applyAlignment="1" pivotButton="0" quotePrefix="0" xfId="0">
      <alignment horizontal="center" vertical="center"/>
    </xf>
    <xf numFmtId="165" fontId="13" fillId="7" borderId="4" applyAlignment="1" pivotButton="0" quotePrefix="0" xfId="0">
      <alignment horizontal="center" vertical="center"/>
    </xf>
    <xf numFmtId="0" fontId="14" fillId="7" borderId="4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/>
    </xf>
    <xf numFmtId="165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164" fontId="8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vertical="center"/>
    </xf>
    <xf numFmtId="165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vertical="center"/>
    </xf>
    <xf numFmtId="164" fontId="8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right" vertical="center"/>
    </xf>
    <xf numFmtId="0" fontId="7" fillId="6" borderId="3" applyAlignment="1" pivotButton="0" quotePrefix="0" xfId="0">
      <alignment horizontal="right" vertical="center"/>
    </xf>
    <xf numFmtId="165" fontId="7" fillId="6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64" fontId="7" fillId="6" borderId="3" applyAlignment="1" pivotButton="0" quotePrefix="0" xfId="0">
      <alignment horizontal="right" vertical="center"/>
    </xf>
    <xf numFmtId="0" fontId="7" fillId="6" borderId="3" applyAlignment="1" pivotButton="0" quotePrefix="0" xfId="0">
      <alignment horizontal="center" vertical="center"/>
    </xf>
    <xf numFmtId="2" fontId="7" fillId="6" borderId="3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0" fontId="19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indent="1"/>
    </xf>
    <xf numFmtId="1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vertical="center"/>
    </xf>
    <xf numFmtId="0" fontId="8" fillId="5" borderId="1" applyAlignment="1" pivotButton="0" quotePrefix="0" xfId="0">
      <alignment horizontal="right" vertical="center"/>
    </xf>
    <xf numFmtId="0" fontId="9" fillId="4" borderId="2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8" fillId="7" borderId="1" applyAlignment="1" pivotButton="0" quotePrefix="0" xfId="0">
      <alignment horizontal="right" vertical="center"/>
    </xf>
    <xf numFmtId="10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0" fontId="12" fillId="7" borderId="1" applyAlignment="1" pivotButton="0" quotePrefix="0" xfId="0">
      <alignment vertical="center"/>
    </xf>
    <xf numFmtId="10" fontId="7" fillId="6" borderId="3" applyAlignment="1" pivotButton="0" quotePrefix="0" xfId="0">
      <alignment horizontal="right" vertical="center"/>
    </xf>
    <xf numFmtId="0" fontId="0" fillId="6" borderId="3" pivotButton="0" quotePrefix="0" xfId="0"/>
    <xf numFmtId="0" fontId="15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0" fontId="8" fillId="5" borderId="1" applyAlignment="1" pivotButton="0" quotePrefix="0" xfId="0">
      <alignment horizontal="right" vertical="center"/>
    </xf>
    <xf numFmtId="0" fontId="9" fillId="4" borderId="2" applyAlignment="1" pivotButton="0" quotePrefix="0" xfId="0">
      <alignment horizontal="center" vertical="center"/>
    </xf>
    <xf numFmtId="10" fontId="8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7" customWidth="1" min="3" max="3"/>
    <col width="34" customWidth="1" min="4" max="4"/>
    <col width="26" customWidth="1" min="5" max="5"/>
    <col width="16" customWidth="1" min="6" max="6"/>
    <col width="45" customWidth="1" min="7" max="7"/>
    <col width="15" customWidth="1" min="8" max="8"/>
    <col width="21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4" customHeight="1">
      <c r="A1" s="1" t="inlineStr">
        <is>
          <t>Seneca Polytechnic — Computer Systems Technology (CTY)</t>
        </is>
      </c>
    </row>
    <row r="2" ht="18" customHeight="1">
      <c r="A2" s="2" t="inlineStr">
        <is>
          <t>Semester 3 Academic Performance Dashboard, Hurdle Verification &amp; Official Seneca 4.0 GPA Calculator</t>
        </is>
      </c>
    </row>
    <row r="3" ht="20" customHeight="1">
      <c r="A3" s="3" t="inlineStr">
        <is>
          <t>💡 FAST NAVIGATION: Click any blue Course Code below to jump directly to that course sheet. Enter your grades to see GPA and totals update in real time.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8" customHeight="1"/>
    <row r="5" ht="16" customHeight="1">
      <c r="A5" s="4" t="inlineStr">
        <is>
          <t>CUMULATIVE GPA</t>
        </is>
      </c>
      <c r="B5" s="4" t="n"/>
      <c r="C5" s="4" t="inlineStr">
        <is>
          <t>PROJECTED GPA</t>
        </is>
      </c>
      <c r="D5" s="4" t="n"/>
      <c r="E5" s="4" t="inlineStr">
        <is>
          <t>CURRENT OVERALL AVG</t>
        </is>
      </c>
      <c r="F5" s="4" t="n"/>
      <c r="G5" s="4" t="inlineStr">
        <is>
          <t>TECHNICAL CORE AVG</t>
        </is>
      </c>
      <c r="H5" s="4" t="n"/>
      <c r="I5" s="4" t="inlineStr">
        <is>
          <t>TOTAL TERM CREDITS</t>
        </is>
      </c>
      <c r="J5" s="4" t="n"/>
    </row>
    <row r="6" ht="26" customHeight="1">
      <c r="A6" s="5">
        <f>IF(SUMIF(I11:I17, "&gt;=0", C11:C17)&gt;0, ROUND(SUM(K11:K17)/SUMIF(I11:I17, "&gt;=0", C11:C17), 2), "--")</f>
        <v/>
      </c>
      <c r="B6" s="5" t="n"/>
      <c r="C6" s="5">
        <f>IF(SUMIF(G11:G17, "&gt;0", C11:C17)&gt;0, ROUND(SUM(L11:L17)/SUMIF(G11:G17, "&gt;0", C11:C17), 2), "--")</f>
        <v/>
      </c>
      <c r="D6" s="5" t="n"/>
      <c r="E6" s="6">
        <f>IF(SUMIF(F11:F17, "&gt;0", C11:C17)&gt;0, ROUND(SUM(M11:M17)/SUMIF(F11:F17, "&gt;0", C11:C17), 1), "--")</f>
        <v/>
      </c>
      <c r="F6" s="6" t="n"/>
      <c r="G6" s="6">
        <f>IF(SUM(O11:O17)&gt;0, ROUND(SUM(N11:N17)/SUM(O11:O17), 1), "--")</f>
        <v/>
      </c>
      <c r="H6" s="6" t="n"/>
      <c r="I6" s="7">
        <f>SUM(C11:C17)</f>
        <v/>
      </c>
      <c r="J6" s="7" t="n"/>
    </row>
    <row r="7" ht="16" customHeight="1">
      <c r="A7" s="8" t="inlineStr">
        <is>
          <t>Graded Courses to Date</t>
        </is>
      </c>
      <c r="B7" s="8" t="n"/>
      <c r="C7" s="8" t="inlineStr">
        <is>
          <t>Estimated Final Term GPA</t>
        </is>
      </c>
      <c r="D7" s="8" t="n"/>
      <c r="E7" s="8" t="inlineStr">
        <is>
          <t>Credit-Weighted Average</t>
        </is>
      </c>
      <c r="F7" s="8" t="n"/>
      <c r="G7" s="8" t="inlineStr">
        <is>
          <t>5 Computing Core Courses</t>
        </is>
      </c>
      <c r="H7" s="8" t="n"/>
      <c r="I7" s="8" t="inlineStr">
        <is>
          <t>7 Enrolled Courses</t>
        </is>
      </c>
      <c r="J7" s="8" t="n"/>
    </row>
    <row r="8" ht="8" customHeight="1"/>
    <row r="9" ht="6" customHeight="1"/>
    <row r="10" ht="26" customHeight="1">
      <c r="A10" s="9" t="inlineStr">
        <is>
          <t>Course Code</t>
        </is>
      </c>
      <c r="B10" s="10" t="inlineStr">
        <is>
          <t>Course Title</t>
        </is>
      </c>
      <c r="C10" s="9" t="inlineStr">
        <is>
          <t>Credits</t>
        </is>
      </c>
      <c r="D10" s="10" t="inlineStr">
        <is>
          <t>Classification</t>
        </is>
      </c>
      <c r="E10" s="9" t="inlineStr">
        <is>
          <t>Completed %</t>
        </is>
      </c>
      <c r="F10" s="9" t="inlineStr">
        <is>
          <t>Current Avg %</t>
        </is>
      </c>
      <c r="G10" s="9" t="inlineStr">
        <is>
          <t>Projected Final %</t>
        </is>
      </c>
      <c r="H10" s="9" t="inlineStr">
        <is>
          <t>Letter Grade</t>
        </is>
      </c>
      <c r="I10" s="9" t="inlineStr">
        <is>
          <t>GPA Points</t>
        </is>
      </c>
      <c r="J10" s="9" t="inlineStr">
        <is>
          <t>Hurdle Status</t>
        </is>
      </c>
    </row>
    <row r="11" ht="22" customHeight="1">
      <c r="A11" s="11">
        <f>HYPERLINK("#'CSN305'!A1", "CSN305")</f>
        <v/>
      </c>
      <c r="B11" s="12" t="inlineStr">
        <is>
          <t>Virtualization and Cloud Infrastructure</t>
        </is>
      </c>
      <c r="C11" s="13" t="n">
        <v>3</v>
      </c>
      <c r="D11" s="14" t="inlineStr">
        <is>
          <t>Technical Core</t>
        </is>
      </c>
      <c r="E11" s="15">
        <f>'CSN305'!A6</f>
        <v/>
      </c>
      <c r="F11" s="16">
        <f>IF('CSN305'!A6&gt;0, 'CSN305'!E6, "")</f>
        <v/>
      </c>
      <c r="G11" s="16">
        <f>IF('CSN305'!A6&gt;0, 'CSN305'!G6, "")</f>
        <v/>
      </c>
      <c r="H11" s="17">
        <f>IF(ISNUMBER(G11), IF(G11&gt;=0.9, "A+", IF(G11&gt;=0.8, "A", IF(G11&gt;=0.75, "B+", IF(G11&gt;=0.7, "B", IF(G11&gt;=0.65, "C+", IF(G11&gt;=0.6, "C", IF(G11&gt;=0.55, "D+", IF(G11&gt;=0.5, "D", "F")))))))), "--")</f>
        <v/>
      </c>
      <c r="I11" s="18">
        <f>IF(H11="A+", 4.0, IF(H11="A", 4.0, IF(H11="B+", 3.5, IF(H11="B", 3.0, IF(H11="C+", 2.5, IF(H11="C", 2.0, IF(H11="D+", 1.5, IF(H11="D", 1.0, IF(H11="F", 0.0, "")))))))))</f>
        <v/>
      </c>
      <c r="J11" s="17">
        <f>'CSN305'!I6</f>
        <v/>
      </c>
      <c r="K11">
        <f>IF(ISNUMBER(I11), I11*C11, "")</f>
        <v/>
      </c>
      <c r="L11">
        <f>IF(ISNUMBER(G11), IF(G11&gt;=0.9, 4.0, IF(G11&gt;=0.8, 4.0, IF(G11&gt;=0.75, 3.5, IF(G11&gt;=0.7, 3.0, IF(G11&gt;=0.65, 2.5, IF(G11&gt;=0.6, 2.0, IF(G11&gt;=0.55, 1.5, IF(G11&gt;=0.5, 1.0, 0.0))))))))*C11, "")</f>
        <v/>
      </c>
      <c r="M11">
        <f>IF(AND(ISNUMBER(F11), F11&gt;0), F11*C11, "")</f>
        <v/>
      </c>
      <c r="N11">
        <f>IF(AND(D11="Technical Core", ISNUMBER(F11), F11&gt;0), F11*C11, "")</f>
        <v/>
      </c>
      <c r="O11">
        <f>IF(AND(D11="Technical Core", ISNUMBER(F11), F11&gt;0), C11, "")</f>
        <v/>
      </c>
    </row>
    <row r="12" ht="22" customHeight="1">
      <c r="A12" s="19">
        <f>HYPERLINK("#'DAT330'!A1", "DAT330")</f>
        <v/>
      </c>
      <c r="B12" s="20" t="inlineStr">
        <is>
          <t>Introduction to Databases</t>
        </is>
      </c>
      <c r="C12" s="21" t="n">
        <v>3</v>
      </c>
      <c r="D12" s="22" t="inlineStr">
        <is>
          <t>Technical Core</t>
        </is>
      </c>
      <c r="E12" s="23">
        <f>'DAT330'!A6</f>
        <v/>
      </c>
      <c r="F12" s="24">
        <f>IF('DAT330'!A6&gt;0, 'DAT330'!E6, "")</f>
        <v/>
      </c>
      <c r="G12" s="24">
        <f>IF('DAT330'!A6&gt;0, 'DAT330'!G6, "")</f>
        <v/>
      </c>
      <c r="H12" s="25">
        <f>IF(ISNUMBER(G12), IF(G12&gt;=0.9, "A+", IF(G12&gt;=0.8, "A", IF(G12&gt;=0.75, "B+", IF(G12&gt;=0.7, "B", IF(G12&gt;=0.65, "C+", IF(G12&gt;=0.6, "C", IF(G12&gt;=0.55, "D+", IF(G12&gt;=0.5, "D", "F")))))))), "--")</f>
        <v/>
      </c>
      <c r="I12" s="26">
        <f>IF(H12="A+", 4.0, IF(H12="A", 4.0, IF(H12="B+", 3.5, IF(H12="B", 3.0, IF(H12="C+", 2.5, IF(H12="C", 2.0, IF(H12="D+", 1.5, IF(H12="D", 1.0, IF(H12="F", 0.0, "")))))))))</f>
        <v/>
      </c>
      <c r="J12" s="25">
        <f>'DAT330'!I6</f>
        <v/>
      </c>
      <c r="K12">
        <f>IF(ISNUMBER(I12), I12*C12, "")</f>
        <v/>
      </c>
      <c r="L12">
        <f>IF(ISNUMBER(G12), IF(G12&gt;=0.9, 4.0, IF(G12&gt;=0.8, 4.0, IF(G12&gt;=0.75, 3.5, IF(G12&gt;=0.7, 3.0, IF(G12&gt;=0.65, 2.5, IF(G12&gt;=0.6, 2.0, IF(G12&gt;=0.55, 1.5, IF(G12&gt;=0.5, 1.0, 0.0))))))))*C12, "")</f>
        <v/>
      </c>
      <c r="M12">
        <f>IF(AND(ISNUMBER(F12), F12&gt;0), F12*C12, "")</f>
        <v/>
      </c>
      <c r="N12">
        <f>IF(AND(D12="Technical Core", ISNUMBER(F12), F12&gt;0), F12*C12, "")</f>
        <v/>
      </c>
      <c r="O12">
        <f>IF(AND(D12="Technical Core", ISNUMBER(F12), F12&gt;0), C12, "")</f>
        <v/>
      </c>
    </row>
    <row r="13" ht="22" customHeight="1">
      <c r="A13" s="11">
        <f>HYPERLINK("#'MST300'!A1", "MST300")</f>
        <v/>
      </c>
      <c r="B13" s="12" t="inlineStr">
        <is>
          <t>Introduction to Microsoft Cloud Technologies</t>
        </is>
      </c>
      <c r="C13" s="13" t="n">
        <v>3</v>
      </c>
      <c r="D13" s="14" t="inlineStr">
        <is>
          <t>Technical Core</t>
        </is>
      </c>
      <c r="E13" s="15">
        <f>'MST300'!A6</f>
        <v/>
      </c>
      <c r="F13" s="16">
        <f>IF('MST300'!A6&gt;0, 'MST300'!E6, "")</f>
        <v/>
      </c>
      <c r="G13" s="16">
        <f>IF('MST300'!A6&gt;0, 'MST300'!G6, "")</f>
        <v/>
      </c>
      <c r="H13" s="17">
        <f>IF(ISNUMBER(G13), IF(G13&gt;=0.9, "A+", IF(G13&gt;=0.8, "A", IF(G13&gt;=0.75, "B+", IF(G13&gt;=0.7, "B", IF(G13&gt;=0.65, "C+", IF(G13&gt;=0.6, "C", IF(G13&gt;=0.55, "D+", IF(G13&gt;=0.5, "D", "F")))))))), "--")</f>
        <v/>
      </c>
      <c r="I13" s="18">
        <f>IF(H13="A+", 4.0, IF(H13="A", 4.0, IF(H13="B+", 3.5, IF(H13="B", 3.0, IF(H13="C+", 2.5, IF(H13="C", 2.0, IF(H13="D+", 1.5, IF(H13="D", 1.0, IF(H13="F", 0.0, "")))))))))</f>
        <v/>
      </c>
      <c r="J13" s="17">
        <f>'MST300'!I6</f>
        <v/>
      </c>
      <c r="K13">
        <f>IF(ISNUMBER(I13), I13*C13, "")</f>
        <v/>
      </c>
      <c r="L13">
        <f>IF(ISNUMBER(G13), IF(G13&gt;=0.9, 4.0, IF(G13&gt;=0.8, 4.0, IF(G13&gt;=0.75, 3.5, IF(G13&gt;=0.7, 3.0, IF(G13&gt;=0.65, 2.5, IF(G13&gt;=0.6, 2.0, IF(G13&gt;=0.55, 1.5, IF(G13&gt;=0.5, 1.0, 0.0))))))))*C13, "")</f>
        <v/>
      </c>
      <c r="M13">
        <f>IF(AND(ISNUMBER(F13), F13&gt;0), F13*C13, "")</f>
        <v/>
      </c>
      <c r="N13">
        <f>IF(AND(D13="Technical Core", ISNUMBER(F13), F13&gt;0), F13*C13, "")</f>
        <v/>
      </c>
      <c r="O13">
        <f>IF(AND(D13="Technical Core", ISNUMBER(F13), F13&gt;0), C13, "")</f>
        <v/>
      </c>
    </row>
    <row r="14" ht="22" customHeight="1">
      <c r="A14" s="19">
        <f>HYPERLINK("#'PSY262'!A1", "PSY262")</f>
        <v/>
      </c>
      <c r="B14" s="20" t="inlineStr">
        <is>
          <t>Applied Psychology of Mindfulness</t>
        </is>
      </c>
      <c r="C14" s="21" t="n">
        <v>3</v>
      </c>
      <c r="D14" s="22" t="inlineStr">
        <is>
          <t>General Ed</t>
        </is>
      </c>
      <c r="E14" s="23">
        <f>'PSY262'!A6</f>
        <v/>
      </c>
      <c r="F14" s="24">
        <f>IF('PSY262'!A6&gt;0, 'PSY262'!E6, "")</f>
        <v/>
      </c>
      <c r="G14" s="24">
        <f>IF('PSY262'!A6&gt;0, 'PSY262'!G6, "")</f>
        <v/>
      </c>
      <c r="H14" s="25">
        <f>IF(ISNUMBER(G14), IF(G14&gt;=0.9, "A+", IF(G14&gt;=0.8, "A", IF(G14&gt;=0.75, "B+", IF(G14&gt;=0.7, "B", IF(G14&gt;=0.65, "C+", IF(G14&gt;=0.6, "C", IF(G14&gt;=0.55, "D+", IF(G14&gt;=0.5, "D", "F")))))))), "--")</f>
        <v/>
      </c>
      <c r="I14" s="26">
        <f>IF(H14="A+", 4.0, IF(H14="A", 4.0, IF(H14="B+", 3.5, IF(H14="B", 3.0, IF(H14="C+", 2.5, IF(H14="C", 2.0, IF(H14="D+", 1.5, IF(H14="D", 1.0, IF(H14="F", 0.0, "")))))))))</f>
        <v/>
      </c>
      <c r="J14" s="25">
        <f>'PSY262'!I6</f>
        <v/>
      </c>
      <c r="K14">
        <f>IF(ISNUMBER(I14), I14*C14, "")</f>
        <v/>
      </c>
      <c r="L14">
        <f>IF(ISNUMBER(G14), IF(G14&gt;=0.9, 4.0, IF(G14&gt;=0.8, 4.0, IF(G14&gt;=0.75, 3.5, IF(G14&gt;=0.7, 3.0, IF(G14&gt;=0.65, 2.5, IF(G14&gt;=0.6, 2.0, IF(G14&gt;=0.55, 1.5, IF(G14&gt;=0.5, 1.0, 0.0))))))))*C14, "")</f>
        <v/>
      </c>
      <c r="M14">
        <f>IF(AND(ISNUMBER(F14), F14&gt;0), F14*C14, "")</f>
        <v/>
      </c>
      <c r="N14">
        <f>IF(AND(D14="Technical Core", ISNUMBER(F14), F14&gt;0), F14*C14, "")</f>
        <v/>
      </c>
      <c r="O14">
        <f>IF(AND(D14="Technical Core", ISNUMBER(F14), F14&gt;0), C14, "")</f>
        <v/>
      </c>
    </row>
    <row r="15" ht="22" customHeight="1">
      <c r="A15" s="11">
        <f>HYPERLINK("#'SEC320'!A1", "SEC320")</f>
        <v/>
      </c>
      <c r="B15" s="12" t="inlineStr">
        <is>
          <t>Incident Response and Computer Forensics</t>
        </is>
      </c>
      <c r="C15" s="13" t="n">
        <v>3</v>
      </c>
      <c r="D15" s="14" t="inlineStr">
        <is>
          <t>Technical Core</t>
        </is>
      </c>
      <c r="E15" s="15">
        <f>'SEC320'!A6</f>
        <v/>
      </c>
      <c r="F15" s="16">
        <f>IF('SEC320'!A6&gt;0, 'SEC320'!E6, "")</f>
        <v/>
      </c>
      <c r="G15" s="16">
        <f>IF('SEC320'!A6&gt;0, 'SEC320'!G6, "")</f>
        <v/>
      </c>
      <c r="H15" s="17">
        <f>IF(ISNUMBER(G15), IF(G15&gt;=0.9, "A+", IF(G15&gt;=0.8, "A", IF(G15&gt;=0.75, "B+", IF(G15&gt;=0.7, "B", IF(G15&gt;=0.65, "C+", IF(G15&gt;=0.6, "C", IF(G15&gt;=0.55, "D+", IF(G15&gt;=0.5, "D", "F")))))))), "--")</f>
        <v/>
      </c>
      <c r="I15" s="18">
        <f>IF(H15="A+", 4.0, IF(H15="A", 4.0, IF(H15="B+", 3.5, IF(H15="B", 3.0, IF(H15="C+", 2.5, IF(H15="C", 2.0, IF(H15="D+", 1.5, IF(H15="D", 1.0, IF(H15="F", 0.0, "")))))))))</f>
        <v/>
      </c>
      <c r="J15" s="17">
        <f>'SEC320'!I6</f>
        <v/>
      </c>
      <c r="K15">
        <f>IF(ISNUMBER(I15), I15*C15, "")</f>
        <v/>
      </c>
      <c r="L15">
        <f>IF(ISNUMBER(G15), IF(G15&gt;=0.9, 4.0, IF(G15&gt;=0.8, 4.0, IF(G15&gt;=0.75, 3.5, IF(G15&gt;=0.7, 3.0, IF(G15&gt;=0.65, 2.5, IF(G15&gt;=0.6, 2.0, IF(G15&gt;=0.55, 1.5, IF(G15&gt;=0.5, 1.0, 0.0))))))))*C15, "")</f>
        <v/>
      </c>
      <c r="M15">
        <f>IF(AND(ISNUMBER(F15), F15&gt;0), F15*C15, "")</f>
        <v/>
      </c>
      <c r="N15">
        <f>IF(AND(D15="Technical Core", ISNUMBER(F15), F15&gt;0), F15*C15, "")</f>
        <v/>
      </c>
      <c r="O15">
        <f>IF(AND(D15="Technical Core", ISNUMBER(F15), F15&gt;0), C15, "")</f>
        <v/>
      </c>
    </row>
    <row r="16" ht="22" customHeight="1">
      <c r="A16" s="19">
        <f>HYPERLINK("#'OPS345'!A1", "OPS345")</f>
        <v/>
      </c>
      <c r="B16" s="20" t="inlineStr">
        <is>
          <t>Open System Application Server</t>
        </is>
      </c>
      <c r="C16" s="21" t="n">
        <v>3</v>
      </c>
      <c r="D16" s="22" t="inlineStr">
        <is>
          <t>Technical Core</t>
        </is>
      </c>
      <c r="E16" s="23">
        <f>'OPS345'!A6</f>
        <v/>
      </c>
      <c r="F16" s="24">
        <f>IF('OPS345'!A6&gt;0, 'OPS345'!E6, "")</f>
        <v/>
      </c>
      <c r="G16" s="24">
        <f>IF('OPS345'!A6&gt;0, 'OPS345'!G6, "")</f>
        <v/>
      </c>
      <c r="H16" s="25">
        <f>IF(ISNUMBER(G16), IF(G16&gt;=0.9, "A+", IF(G16&gt;=0.8, "A", IF(G16&gt;=0.75, "B+", IF(G16&gt;=0.7, "B", IF(G16&gt;=0.65, "C+", IF(G16&gt;=0.6, "C", IF(G16&gt;=0.55, "D+", IF(G16&gt;=0.5, "D", "F")))))))), "--")</f>
        <v/>
      </c>
      <c r="I16" s="26">
        <f>IF(H16="A+", 4.0, IF(H16="A", 4.0, IF(H16="B+", 3.5, IF(H16="B", 3.0, IF(H16="C+", 2.5, IF(H16="C", 2.0, IF(H16="D+", 1.5, IF(H16="D", 1.0, IF(H16="F", 0.0, "")))))))))</f>
        <v/>
      </c>
      <c r="J16" s="25">
        <f>'OPS345'!I6</f>
        <v/>
      </c>
      <c r="K16">
        <f>IF(ISNUMBER(I16), I16*C16, "")</f>
        <v/>
      </c>
      <c r="L16">
        <f>IF(ISNUMBER(G16), IF(G16&gt;=0.9, 4.0, IF(G16&gt;=0.8, 4.0, IF(G16&gt;=0.75, 3.5, IF(G16&gt;=0.7, 3.0, IF(G16&gt;=0.65, 2.5, IF(G16&gt;=0.6, 2.0, IF(G16&gt;=0.55, 1.5, IF(G16&gt;=0.5, 1.0, 0.0))))))))*C16, "")</f>
        <v/>
      </c>
      <c r="M16">
        <f>IF(AND(ISNUMBER(F16), F16&gt;0), F16*C16, "")</f>
        <v/>
      </c>
      <c r="N16">
        <f>IF(AND(D16="Technical Core", ISNUMBER(F16), F16&gt;0), F16*C16, "")</f>
        <v/>
      </c>
      <c r="O16">
        <f>IF(AND(D16="Technical Core", ISNUMBER(F16), F16&gt;0), C16, "")</f>
        <v/>
      </c>
    </row>
    <row r="17" ht="22" customHeight="1">
      <c r="A17" s="11">
        <f>HYPERLINK("#'WTP100'!A1", "WTP100")</f>
        <v/>
      </c>
      <c r="B17" s="12" t="inlineStr">
        <is>
          <t>Work Term Preparation</t>
        </is>
      </c>
      <c r="C17" s="13" t="n">
        <v>1</v>
      </c>
      <c r="D17" s="14" t="inlineStr">
        <is>
          <t>Co-op Prep</t>
        </is>
      </c>
      <c r="E17" s="15">
        <f>'WTP100'!A6</f>
        <v/>
      </c>
      <c r="F17" s="16">
        <f>IF('WTP100'!A6&gt;0, 'WTP100'!E6, "")</f>
        <v/>
      </c>
      <c r="G17" s="16">
        <f>IF('WTP100'!A6&gt;0, 'WTP100'!G6, "")</f>
        <v/>
      </c>
      <c r="H17" s="17">
        <f>IF('WTP100'!A6&gt;0, IF('WTP100'!E6&gt;=0.8, "SAT", "UN"), "--")</f>
        <v/>
      </c>
      <c r="I17" s="18" t="inlineStr">
        <is>
          <t>""</t>
        </is>
      </c>
      <c r="J17" s="17">
        <f>'WTP100'!I6</f>
        <v/>
      </c>
      <c r="K17">
        <f>IF(ISNUMBER(I17), I17*C17, "")</f>
        <v/>
      </c>
      <c r="L17">
        <f>IF(ISNUMBER(G17), IF(G17&gt;=0.9, 4.0, IF(G17&gt;=0.8, 4.0, IF(G17&gt;=0.75, 3.5, IF(G17&gt;=0.7, 3.0, IF(G17&gt;=0.65, 2.5, IF(G17&gt;=0.6, 2.0, IF(G17&gt;=0.55, 1.5, IF(G17&gt;=0.5, 1.0, 0.0))))))))*C17, "")</f>
        <v/>
      </c>
      <c r="M17">
        <f>IF(AND(ISNUMBER(F17), F17&gt;0), F17*C17, "")</f>
        <v/>
      </c>
      <c r="N17">
        <f>IF(AND(D17="Technical Core", ISNUMBER(F17), F17&gt;0), F17*C17, "")</f>
        <v/>
      </c>
      <c r="O17">
        <f>IF(AND(D17="Technical Core", ISNUMBER(F17), F17&gt;0), C17, "")</f>
        <v/>
      </c>
    </row>
    <row r="18" ht="22" customHeight="1">
      <c r="A18" s="27" t="inlineStr">
        <is>
          <t>SEMESTER 3 WEIGHTED TOTALS</t>
        </is>
      </c>
      <c r="B18" s="27" t="n"/>
      <c r="C18" s="28">
        <f>SUM(C11:C17)</f>
        <v/>
      </c>
      <c r="D18" s="29" t="inlineStr">
        <is>
          <t>--</t>
        </is>
      </c>
      <c r="E18" s="30">
        <f>AVERAGE(E11:E17)</f>
        <v/>
      </c>
      <c r="F18" s="30">
        <f>E6</f>
        <v/>
      </c>
      <c r="G18" s="30">
        <f>C6</f>
        <v/>
      </c>
      <c r="H18" s="31">
        <f>IF(ISNUMBER(G6), IF(G6&gt;=0.9, "A+", IF(G6&gt;=0.8, "A", IF(G6&gt;=0.75, "B+", IF(G6&gt;=0.7, "B", IF(G6&gt;=0.65, "C+", IF(G6&gt;=0.6, "C", IF(G6&gt;=0.55, "D+", IF(G6&gt;=0.5, "D", "F")))))))), "--")</f>
        <v/>
      </c>
      <c r="I18" s="32">
        <f>A6</f>
        <v/>
      </c>
      <c r="J18" s="31">
        <f>IF(COUNTIF(J11:J17, "*WARNING*")&gt;0, "⚠️ ACTION REQUIRED", "ALL CLEAR")</f>
        <v/>
      </c>
    </row>
    <row r="19"/>
    <row r="20"/>
    <row r="21">
      <c r="A21" s="33" t="inlineStr">
        <is>
          <t>OFFICIAL SENECA POLYTECHNIC GRADING SCALE (4.0 SCALE)</t>
        </is>
      </c>
      <c r="B21" s="33" t="n"/>
      <c r="C21" s="33" t="n"/>
      <c r="D21" s="33" t="n"/>
      <c r="E21" s="33" t="n"/>
      <c r="G21" s="33" t="inlineStr">
        <is>
          <t>SEMESTER 3 ACADEMIC POLICY &amp; HURDLE SUMMARY</t>
        </is>
      </c>
      <c r="H21" s="33" t="n"/>
      <c r="I21" s="33" t="n"/>
      <c r="J21" s="33" t="n"/>
    </row>
    <row r="22" ht="18" customHeight="1">
      <c r="A22" s="34" t="inlineStr">
        <is>
          <t>A+</t>
        </is>
      </c>
      <c r="B22" s="35" t="inlineStr">
        <is>
          <t>90% - 100%</t>
        </is>
      </c>
      <c r="C22" s="36" t="n">
        <v>4</v>
      </c>
      <c r="D22" s="37" t="inlineStr">
        <is>
          <t>Exemplary Performance</t>
        </is>
      </c>
      <c r="E22" s="38" t="n"/>
      <c r="G22" s="39" t="inlineStr">
        <is>
          <t>1. Dual-Criterion Hurdle: CSN305, DAT330, MST300 &amp; SEC320 require a weighted average of &gt;=50% on all tests/exams combined to obtain course credit.</t>
        </is>
      </c>
      <c r="H22" s="40" t="n"/>
      <c r="I22" s="40" t="n"/>
      <c r="J22" s="40" t="n"/>
    </row>
    <row r="23" ht="18" customHeight="1">
      <c r="A23" s="34" t="inlineStr">
        <is>
          <t>A</t>
        </is>
      </c>
      <c r="B23" s="35" t="inlineStr">
        <is>
          <t>80% - 89%</t>
        </is>
      </c>
      <c r="C23" s="36" t="n">
        <v>4</v>
      </c>
      <c r="D23" s="37" t="inlineStr">
        <is>
          <t>Excellent Comprehension</t>
        </is>
      </c>
      <c r="E23" s="38" t="n"/>
      <c r="G23" s="40" t="n"/>
      <c r="H23" s="40" t="n"/>
      <c r="I23" s="40" t="n"/>
      <c r="J23" s="40" t="n"/>
    </row>
    <row r="24" ht="18" customHeight="1">
      <c r="A24" s="34" t="inlineStr">
        <is>
          <t>B+</t>
        </is>
      </c>
      <c r="B24" s="35" t="inlineStr">
        <is>
          <t>75% - 79%</t>
        </is>
      </c>
      <c r="C24" s="36" t="n">
        <v>3.5</v>
      </c>
      <c r="D24" s="37" t="inlineStr">
        <is>
          <t>Very Good Standing</t>
        </is>
      </c>
      <c r="E24" s="38" t="n"/>
      <c r="G24" s="39" t="inlineStr">
        <is>
          <t>2. Lab Completion Hurdle: All lab exercises must be satisfactorily submitted and verified for technical course passing.</t>
        </is>
      </c>
      <c r="H24" s="40" t="n"/>
      <c r="I24" s="40" t="n"/>
      <c r="J24" s="40" t="n"/>
    </row>
    <row r="25" ht="18" customHeight="1">
      <c r="A25" s="34" t="inlineStr">
        <is>
          <t>B</t>
        </is>
      </c>
      <c r="B25" s="35" t="inlineStr">
        <is>
          <t>70% - 74%</t>
        </is>
      </c>
      <c r="C25" s="36" t="n">
        <v>3</v>
      </c>
      <c r="D25" s="37" t="inlineStr">
        <is>
          <t>Good Standing</t>
        </is>
      </c>
      <c r="E25" s="38" t="n"/>
      <c r="G25" s="40" t="n"/>
      <c r="H25" s="40" t="n"/>
      <c r="I25" s="40" t="n"/>
      <c r="J25" s="40" t="n"/>
    </row>
    <row r="26" ht="18" customHeight="1">
      <c r="A26" s="34" t="inlineStr">
        <is>
          <t>C+</t>
        </is>
      </c>
      <c r="B26" s="35" t="inlineStr">
        <is>
          <t>65% - 69%</t>
        </is>
      </c>
      <c r="C26" s="36" t="n">
        <v>2.5</v>
      </c>
      <c r="D26" s="37" t="inlineStr">
        <is>
          <t>Satisfactory Achievement</t>
        </is>
      </c>
      <c r="E26" s="38" t="n"/>
      <c r="G26" s="39" t="inlineStr">
        <is>
          <t>3. Technical Core Isolation: 5 core computing courses (CSN305, DAT330, MST300, SEC320, OPS345) are tracked separately from General Electives.</t>
        </is>
      </c>
      <c r="H26" s="40" t="n"/>
      <c r="I26" s="40" t="n"/>
      <c r="J26" s="40" t="n"/>
    </row>
    <row r="27" ht="18" customHeight="1">
      <c r="A27" s="34" t="inlineStr">
        <is>
          <t>C</t>
        </is>
      </c>
      <c r="B27" s="35" t="inlineStr">
        <is>
          <t>60% - 64%</t>
        </is>
      </c>
      <c r="C27" s="36" t="n">
        <v>2</v>
      </c>
      <c r="D27" s="37" t="inlineStr">
        <is>
          <t>Minimum Technical Prerequisite</t>
        </is>
      </c>
      <c r="E27" s="38" t="n"/>
      <c r="G27" s="40" t="n"/>
      <c r="H27" s="40" t="n"/>
      <c r="I27" s="40" t="n"/>
      <c r="J27" s="40" t="n"/>
    </row>
    <row r="28" ht="18" customHeight="1">
      <c r="A28" s="34" t="inlineStr">
        <is>
          <t>D+</t>
        </is>
      </c>
      <c r="B28" s="35" t="inlineStr">
        <is>
          <t>55% - 59%</t>
        </is>
      </c>
      <c r="C28" s="36" t="n">
        <v>1.5</v>
      </c>
      <c r="D28" s="37" t="inlineStr">
        <is>
          <t>Marginal Pass</t>
        </is>
      </c>
      <c r="E28" s="38" t="n"/>
      <c r="G28" s="39" t="inlineStr">
        <is>
          <t>4. Non-GPA Co-op Course: WTP100 is graded on a Satisfactory/Unsatisfactory (SAT/UN) basis. All 14 Knowledge Checks must achieve &gt;=80%.</t>
        </is>
      </c>
      <c r="H28" s="40" t="n"/>
      <c r="I28" s="40" t="n"/>
      <c r="J28" s="40" t="n"/>
    </row>
    <row r="29" ht="18" customHeight="1">
      <c r="A29" s="34" t="inlineStr">
        <is>
          <t>D</t>
        </is>
      </c>
      <c r="B29" s="35" t="inlineStr">
        <is>
          <t>50% - 54%</t>
        </is>
      </c>
      <c r="C29" s="36" t="n">
        <v>1</v>
      </c>
      <c r="D29" s="37" t="inlineStr">
        <is>
          <t>Minimum Course Pass</t>
        </is>
      </c>
      <c r="E29" s="38" t="n"/>
      <c r="G29" s="40" t="n"/>
      <c r="H29" s="40" t="n"/>
      <c r="I29" s="40" t="n"/>
      <c r="J29" s="40" t="n"/>
    </row>
    <row r="30" ht="18" customHeight="1">
      <c r="A30" s="34" t="inlineStr">
        <is>
          <t>F</t>
        </is>
      </c>
      <c r="B30" s="35" t="inlineStr">
        <is>
          <t>0% - 49%</t>
        </is>
      </c>
      <c r="C30" s="36" t="n">
        <v>0</v>
      </c>
      <c r="D30" s="37" t="inlineStr">
        <is>
          <t>Unsatisfactory / Course Failure</t>
        </is>
      </c>
      <c r="E30" s="38" t="n"/>
    </row>
  </sheetData>
  <mergeCells count="34">
    <mergeCell ref="C6:D6"/>
    <mergeCell ref="I6:J6"/>
    <mergeCell ref="C5:D5"/>
    <mergeCell ref="E5:F5"/>
    <mergeCell ref="D22:E22"/>
    <mergeCell ref="A6:B6"/>
    <mergeCell ref="A7:B7"/>
    <mergeCell ref="G7:H7"/>
    <mergeCell ref="I7:J7"/>
    <mergeCell ref="D27:E27"/>
    <mergeCell ref="G21:J21"/>
    <mergeCell ref="G28:J29"/>
    <mergeCell ref="G6:H6"/>
    <mergeCell ref="G24:J25"/>
    <mergeCell ref="A18:B18"/>
    <mergeCell ref="A21:E21"/>
    <mergeCell ref="A1:J1"/>
    <mergeCell ref="E6:F6"/>
    <mergeCell ref="A5:B5"/>
    <mergeCell ref="G5:H5"/>
    <mergeCell ref="D28:E28"/>
    <mergeCell ref="I5:J5"/>
    <mergeCell ref="D25:E25"/>
    <mergeCell ref="G26:J27"/>
    <mergeCell ref="G22:J23"/>
    <mergeCell ref="C7:D7"/>
    <mergeCell ref="D24:E24"/>
    <mergeCell ref="D30:E30"/>
    <mergeCell ref="E7:F7"/>
    <mergeCell ref="D29:E29"/>
    <mergeCell ref="A3:J3"/>
    <mergeCell ref="D23:E23"/>
    <mergeCell ref="A2:J2"/>
    <mergeCell ref="D26:E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1" customWidth="1" min="3" max="3"/>
    <col width="12" customWidth="1" min="4" max="4"/>
    <col width="23" customWidth="1" min="5" max="5"/>
    <col width="12" customWidth="1" min="6" max="6"/>
    <col width="24" customWidth="1" min="7" max="7"/>
    <col width="13" customWidth="1" min="8" max="8"/>
    <col width="28" customWidth="1" min="9" max="9"/>
    <col width="32" customWidth="1" min="10" max="10"/>
  </cols>
  <sheetData>
    <row r="1" ht="24" customHeight="1">
      <c r="A1" s="1" t="inlineStr">
        <is>
          <t>CSN305: Virtualization and Cloud Infrastructure</t>
        </is>
      </c>
      <c r="I1" s="9">
        <f>HYPERLINK("#'Dashboard &amp; GPA'!A1", "⬅ Back to Dashboard")</f>
        <v/>
      </c>
      <c r="J1" s="9" t="n"/>
    </row>
    <row r="2" ht="18" customHeight="1">
      <c r="A2" s="2" t="inlineStr">
        <is>
          <t>Credits: 3.0  •  Classification: Technical Computing Core  •  Grade Scale: Seneca 4.0</t>
        </is>
      </c>
    </row>
    <row r="3" ht="20" customHeight="1">
      <c r="A3" s="41" t="inlineStr">
        <is>
          <t>📌 PASSING REQUIREMENTS: Achieve a grade of 50% or higher in the overall course  •  Achieve a weighted average of 50% or higher on all tests  •  Satisfactorily complete all labs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</row>
    <row r="4" ht="8" customHeight="1"/>
    <row r="5" ht="16" customHeight="1">
      <c r="A5" s="4" t="inlineStr">
        <is>
          <t>COMPLETED WEIGHT</t>
        </is>
      </c>
      <c r="B5" s="4" t="n"/>
      <c r="C5" s="4" t="inlineStr">
        <is>
          <t>WEIGHTED EARNED</t>
        </is>
      </c>
      <c r="D5" s="4" t="n"/>
      <c r="E5" s="4" t="inlineStr">
        <is>
          <t>CURRENT AVERAGE</t>
        </is>
      </c>
      <c r="F5" s="4" t="n"/>
      <c r="G5" s="4" t="inlineStr">
        <is>
          <t>PROJECTED FINAL</t>
        </is>
      </c>
      <c r="H5" s="4" t="n"/>
      <c r="I5" s="4" t="inlineStr">
        <is>
          <t>HURDLE COMPLIANCE</t>
        </is>
      </c>
      <c r="J5" s="4" t="n"/>
    </row>
    <row r="6" ht="26" customHeight="1">
      <c r="A6" s="6">
        <f>SUMIF(E11:E24, "&lt;&gt;", C11:C24)</f>
        <v/>
      </c>
      <c r="B6" s="6" t="n"/>
      <c r="C6" s="42">
        <f>SUM(G11:G24)</f>
        <v/>
      </c>
      <c r="D6" s="42" t="n"/>
      <c r="E6" s="6">
        <f>IF(A6&gt;0, C6/A6, "--")</f>
        <v/>
      </c>
      <c r="F6" s="6" t="n"/>
      <c r="G6" s="6">
        <f>IF(A6&gt;0, C6 + (1-A6)*E6, "--")</f>
        <v/>
      </c>
      <c r="H6" s="6" t="n"/>
      <c r="I6" s="43">
        <f>IF(SUMIF(E21:E24, "&lt;&gt;", C21:C24)&lt;=0, "PENDING", IF(SUM(G21:G24)/SUMIF(E21:E24, "&lt;&gt;", C21:C24)&gt;=0.5, "ON TRACK (PASSED)", "⚠️ WARNING: &lt;50%"))</f>
        <v/>
      </c>
      <c r="J6" s="43" t="n"/>
    </row>
    <row r="7" ht="16" customHeight="1">
      <c r="A7" s="8" t="inlineStr">
        <is>
          <t>of 100.0% Course Total</t>
        </is>
      </c>
      <c r="B7" s="8" t="n"/>
      <c r="C7" s="8" t="inlineStr">
        <is>
          <t>Points Accumulated</t>
        </is>
      </c>
      <c r="D7" s="8" t="n"/>
      <c r="E7" s="8" t="inlineStr">
        <is>
          <t>Based on graded work</t>
        </is>
      </c>
      <c r="F7" s="8" t="n"/>
      <c r="G7" s="8" t="inlineStr">
        <is>
          <t>Assuming current pace</t>
        </is>
      </c>
      <c r="H7" s="8" t="n"/>
      <c r="I7" s="8" t="inlineStr">
        <is>
          <t>Must score &gt;=50% on Tests</t>
        </is>
      </c>
      <c r="J7" s="8" t="n"/>
    </row>
    <row r="8" ht="8" customHeight="1"/>
    <row r="9" ht="20" customHeight="1">
      <c r="A9" s="3" t="inlineStr">
        <is>
          <t>💡 ENTER MARKS: Enter your points earned in the light blue 'Earned Pts' column (Col E). Scores, weighted points, and GPA recalculate automatically.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26" customHeight="1">
      <c r="A10" s="44" t="inlineStr">
        <is>
          <t>Category</t>
        </is>
      </c>
      <c r="B10" s="45" t="inlineStr">
        <is>
          <t>Assessment Deliverable</t>
        </is>
      </c>
      <c r="C10" s="46" t="inlineStr">
        <is>
          <t>Weight %</t>
        </is>
      </c>
      <c r="D10" s="46" t="inlineStr">
        <is>
          <t>Max Pts</t>
        </is>
      </c>
      <c r="E10" s="44" t="inlineStr">
        <is>
          <t>Earned Pts ✍️</t>
        </is>
      </c>
      <c r="F10" s="44" t="inlineStr">
        <is>
          <t>Score %</t>
        </is>
      </c>
      <c r="G10" s="44" t="inlineStr">
        <is>
          <t>Weighted Earned %</t>
        </is>
      </c>
      <c r="H10" s="44" t="inlineStr">
        <is>
          <t>Due Date</t>
        </is>
      </c>
      <c r="I10" s="44" t="inlineStr">
        <is>
          <t>Status</t>
        </is>
      </c>
      <c r="J10" s="45" t="inlineStr">
        <is>
          <t>Hurdle / Notes</t>
        </is>
      </c>
    </row>
    <row r="11" ht="20" customHeight="1">
      <c r="A11" s="47" t="inlineStr">
        <is>
          <t>Labs</t>
        </is>
      </c>
      <c r="B11" s="12" t="inlineStr">
        <is>
          <t>Lab 1</t>
        </is>
      </c>
      <c r="C11" s="15" t="n">
        <v>0.04</v>
      </c>
      <c r="D11" s="48" t="n">
        <v>100</v>
      </c>
      <c r="E11" s="49" t="n"/>
      <c r="F11" s="15">
        <f>IF(OR(ISBLANK(E11), E11=""), "", E11/D11)</f>
        <v/>
      </c>
      <c r="G11" s="50">
        <f>IF(OR(ISBLANK(E11), E11=""), "", F11*C11)</f>
        <v/>
      </c>
      <c r="H11" s="51" t="inlineStr">
        <is>
          <t>2026-09-17</t>
        </is>
      </c>
      <c r="I11" s="52" t="inlineStr">
        <is>
          <t>Not Started</t>
        </is>
      </c>
      <c r="J11" s="53" t="inlineStr"/>
    </row>
    <row r="12" ht="20" customHeight="1">
      <c r="A12" s="54" t="inlineStr">
        <is>
          <t>Labs</t>
        </is>
      </c>
      <c r="B12" s="20" t="inlineStr">
        <is>
          <t>Lab 2</t>
        </is>
      </c>
      <c r="C12" s="23" t="n">
        <v>0.04</v>
      </c>
      <c r="D12" s="55" t="n">
        <v>100</v>
      </c>
      <c r="E12" s="49" t="n"/>
      <c r="F12" s="23">
        <f>IF(OR(ISBLANK(E12), E12=""), "", E12/D12)</f>
        <v/>
      </c>
      <c r="G12" s="56">
        <f>IF(OR(ISBLANK(E12), E12=""), "", F12*C12)</f>
        <v/>
      </c>
      <c r="H12" s="57" t="inlineStr">
        <is>
          <t>2026-09-24</t>
        </is>
      </c>
      <c r="I12" s="52" t="inlineStr">
        <is>
          <t>Not Started</t>
        </is>
      </c>
      <c r="J12" s="58" t="inlineStr"/>
    </row>
    <row r="13" ht="20" customHeight="1">
      <c r="A13" s="47" t="inlineStr">
        <is>
          <t>Labs</t>
        </is>
      </c>
      <c r="B13" s="12" t="inlineStr">
        <is>
          <t>Lab 3</t>
        </is>
      </c>
      <c r="C13" s="15" t="n">
        <v>0.04</v>
      </c>
      <c r="D13" s="48" t="n">
        <v>100</v>
      </c>
      <c r="E13" s="49" t="n"/>
      <c r="F13" s="15">
        <f>IF(OR(ISBLANK(E13), E13=""), "", E13/D13)</f>
        <v/>
      </c>
      <c r="G13" s="50">
        <f>IF(OR(ISBLANK(E13), E13=""), "", F13*C13)</f>
        <v/>
      </c>
      <c r="H13" s="51" t="inlineStr">
        <is>
          <t>2026-10-01</t>
        </is>
      </c>
      <c r="I13" s="52" t="inlineStr">
        <is>
          <t>Not Started</t>
        </is>
      </c>
      <c r="J13" s="53" t="inlineStr"/>
    </row>
    <row r="14" ht="20" customHeight="1">
      <c r="A14" s="54" t="inlineStr">
        <is>
          <t>Labs</t>
        </is>
      </c>
      <c r="B14" s="20" t="inlineStr">
        <is>
          <t>Lab 4</t>
        </is>
      </c>
      <c r="C14" s="23" t="n">
        <v>0.04</v>
      </c>
      <c r="D14" s="55" t="n">
        <v>100</v>
      </c>
      <c r="E14" s="49" t="n"/>
      <c r="F14" s="23">
        <f>IF(OR(ISBLANK(E14), E14=""), "", E14/D14)</f>
        <v/>
      </c>
      <c r="G14" s="56">
        <f>IF(OR(ISBLANK(E14), E14=""), "", F14*C14)</f>
        <v/>
      </c>
      <c r="H14" s="57" t="inlineStr">
        <is>
          <t>2026-10-08</t>
        </is>
      </c>
      <c r="I14" s="52" t="inlineStr">
        <is>
          <t>Not Started</t>
        </is>
      </c>
      <c r="J14" s="58" t="inlineStr"/>
    </row>
    <row r="15" ht="20" customHeight="1">
      <c r="A15" s="47" t="inlineStr">
        <is>
          <t>Labs</t>
        </is>
      </c>
      <c r="B15" s="12" t="inlineStr">
        <is>
          <t>Lab 5</t>
        </is>
      </c>
      <c r="C15" s="15" t="n">
        <v>0.04</v>
      </c>
      <c r="D15" s="48" t="n">
        <v>100</v>
      </c>
      <c r="E15" s="49" t="n"/>
      <c r="F15" s="15">
        <f>IF(OR(ISBLANK(E15), E15=""), "", E15/D15)</f>
        <v/>
      </c>
      <c r="G15" s="50">
        <f>IF(OR(ISBLANK(E15), E15=""), "", F15*C15)</f>
        <v/>
      </c>
      <c r="H15" s="51" t="inlineStr">
        <is>
          <t>2026-10-15</t>
        </is>
      </c>
      <c r="I15" s="52" t="inlineStr">
        <is>
          <t>Not Started</t>
        </is>
      </c>
      <c r="J15" s="53" t="inlineStr"/>
    </row>
    <row r="16" ht="20" customHeight="1">
      <c r="A16" s="54" t="inlineStr">
        <is>
          <t>Labs</t>
        </is>
      </c>
      <c r="B16" s="20" t="inlineStr">
        <is>
          <t>Lab 6</t>
        </is>
      </c>
      <c r="C16" s="23" t="n">
        <v>0.04</v>
      </c>
      <c r="D16" s="55" t="n">
        <v>100</v>
      </c>
      <c r="E16" s="49" t="n"/>
      <c r="F16" s="23">
        <f>IF(OR(ISBLANK(E16), E16=""), "", E16/D16)</f>
        <v/>
      </c>
      <c r="G16" s="56">
        <f>IF(OR(ISBLANK(E16), E16=""), "", F16*C16)</f>
        <v/>
      </c>
      <c r="H16" s="57" t="inlineStr">
        <is>
          <t>2026-10-22</t>
        </is>
      </c>
      <c r="I16" s="52" t="inlineStr">
        <is>
          <t>Not Started</t>
        </is>
      </c>
      <c r="J16" s="58" t="inlineStr"/>
    </row>
    <row r="17" ht="20" customHeight="1">
      <c r="A17" s="47" t="inlineStr">
        <is>
          <t>Labs</t>
        </is>
      </c>
      <c r="B17" s="12" t="inlineStr">
        <is>
          <t>Lab 7</t>
        </is>
      </c>
      <c r="C17" s="15" t="n">
        <v>0.04</v>
      </c>
      <c r="D17" s="48" t="n">
        <v>100</v>
      </c>
      <c r="E17" s="49" t="n"/>
      <c r="F17" s="15">
        <f>IF(OR(ISBLANK(E17), E17=""), "", E17/D17)</f>
        <v/>
      </c>
      <c r="G17" s="50">
        <f>IF(OR(ISBLANK(E17), E17=""), "", F17*C17)</f>
        <v/>
      </c>
      <c r="H17" s="51" t="inlineStr">
        <is>
          <t>2026-11-12</t>
        </is>
      </c>
      <c r="I17" s="52" t="inlineStr">
        <is>
          <t>Not Started</t>
        </is>
      </c>
      <c r="J17" s="53" t="inlineStr"/>
    </row>
    <row r="18" ht="20" customHeight="1">
      <c r="A18" s="54" t="inlineStr">
        <is>
          <t>Labs</t>
        </is>
      </c>
      <c r="B18" s="20" t="inlineStr">
        <is>
          <t>Lab 8</t>
        </is>
      </c>
      <c r="C18" s="23" t="n">
        <v>0.04</v>
      </c>
      <c r="D18" s="55" t="n">
        <v>100</v>
      </c>
      <c r="E18" s="49" t="n"/>
      <c r="F18" s="23">
        <f>IF(OR(ISBLANK(E18), E18=""), "", E18/D18)</f>
        <v/>
      </c>
      <c r="G18" s="56">
        <f>IF(OR(ISBLANK(E18), E18=""), "", F18*C18)</f>
        <v/>
      </c>
      <c r="H18" s="57" t="inlineStr">
        <is>
          <t>2026-11-19</t>
        </is>
      </c>
      <c r="I18" s="52" t="inlineStr">
        <is>
          <t>Not Started</t>
        </is>
      </c>
      <c r="J18" s="58" t="inlineStr"/>
    </row>
    <row r="19" ht="20" customHeight="1">
      <c r="A19" s="47" t="inlineStr">
        <is>
          <t>Labs</t>
        </is>
      </c>
      <c r="B19" s="12" t="inlineStr">
        <is>
          <t>Lab 9</t>
        </is>
      </c>
      <c r="C19" s="15" t="n">
        <v>0.04</v>
      </c>
      <c r="D19" s="48" t="n">
        <v>100</v>
      </c>
      <c r="E19" s="49" t="n"/>
      <c r="F19" s="15">
        <f>IF(OR(ISBLANK(E19), E19=""), "", E19/D19)</f>
        <v/>
      </c>
      <c r="G19" s="50">
        <f>IF(OR(ISBLANK(E19), E19=""), "", F19*C19)</f>
        <v/>
      </c>
      <c r="H19" s="51" t="inlineStr">
        <is>
          <t>2026-12-3</t>
        </is>
      </c>
      <c r="I19" s="52" t="inlineStr">
        <is>
          <t>Not Started</t>
        </is>
      </c>
      <c r="J19" s="53" t="inlineStr"/>
    </row>
    <row r="20" ht="20" customHeight="1">
      <c r="A20" s="54" t="inlineStr">
        <is>
          <t>Labs</t>
        </is>
      </c>
      <c r="B20" s="20" t="inlineStr">
        <is>
          <t>Lab 10</t>
        </is>
      </c>
      <c r="C20" s="23" t="n">
        <v>0.04</v>
      </c>
      <c r="D20" s="55" t="n">
        <v>100</v>
      </c>
      <c r="E20" s="49" t="n"/>
      <c r="F20" s="23">
        <f>IF(OR(ISBLANK(E20), E20=""), "", E20/D20)</f>
        <v/>
      </c>
      <c r="G20" s="56">
        <f>IF(OR(ISBLANK(E20), E20=""), "", F20*C20)</f>
        <v/>
      </c>
      <c r="H20" s="57" t="inlineStr">
        <is>
          <t>2026-09-17</t>
        </is>
      </c>
      <c r="I20" s="52" t="inlineStr">
        <is>
          <t>Not Started</t>
        </is>
      </c>
      <c r="J20" s="58" t="inlineStr"/>
    </row>
    <row r="21" ht="20" customHeight="1">
      <c r="A21" s="47" t="inlineStr">
        <is>
          <t>Tests</t>
        </is>
      </c>
      <c r="B21" s="12" t="inlineStr">
        <is>
          <t>Test 1</t>
        </is>
      </c>
      <c r="C21" s="15" t="n">
        <v>0.15</v>
      </c>
      <c r="D21" s="48" t="n">
        <v>100</v>
      </c>
      <c r="E21" s="49" t="n"/>
      <c r="F21" s="15">
        <f>IF(OR(ISBLANK(E21), E21=""), "", E21/D21)</f>
        <v/>
      </c>
      <c r="G21" s="50">
        <f>IF(OR(ISBLANK(E21), E21=""), "", F21*C21)</f>
        <v/>
      </c>
      <c r="H21" s="51" t="inlineStr">
        <is>
          <t>2026-10-01</t>
        </is>
      </c>
      <c r="I21" s="52" t="inlineStr">
        <is>
          <t>Not Started</t>
        </is>
      </c>
      <c r="J21" s="59" t="inlineStr">
        <is>
          <t>Mandatory Test Hurdle (&gt;=50%)</t>
        </is>
      </c>
    </row>
    <row r="22" ht="20" customHeight="1">
      <c r="A22" s="54" t="inlineStr">
        <is>
          <t>Tests</t>
        </is>
      </c>
      <c r="B22" s="20" t="inlineStr">
        <is>
          <t>Test 2</t>
        </is>
      </c>
      <c r="C22" s="23" t="n">
        <v>0.15</v>
      </c>
      <c r="D22" s="55" t="n">
        <v>100</v>
      </c>
      <c r="E22" s="49" t="n"/>
      <c r="F22" s="23">
        <f>IF(OR(ISBLANK(E22), E22=""), "", E22/D22)</f>
        <v/>
      </c>
      <c r="G22" s="56">
        <f>IF(OR(ISBLANK(E22), E22=""), "", F22*C22)</f>
        <v/>
      </c>
      <c r="H22" s="57" t="inlineStr">
        <is>
          <t>2026-10-22</t>
        </is>
      </c>
      <c r="I22" s="52" t="inlineStr">
        <is>
          <t>Not Started</t>
        </is>
      </c>
      <c r="J22" s="60" t="inlineStr">
        <is>
          <t>Mandatory Test Hurdle (&gt;=50%)</t>
        </is>
      </c>
    </row>
    <row r="23" ht="20" customHeight="1">
      <c r="A23" s="47" t="inlineStr">
        <is>
          <t>Tests</t>
        </is>
      </c>
      <c r="B23" s="12" t="inlineStr">
        <is>
          <t>Test 3</t>
        </is>
      </c>
      <c r="C23" s="15" t="n">
        <v>0.15</v>
      </c>
      <c r="D23" s="48" t="n">
        <v>100</v>
      </c>
      <c r="E23" s="49" t="n"/>
      <c r="F23" s="15">
        <f>IF(OR(ISBLANK(E23), E23=""), "", E23/D23)</f>
        <v/>
      </c>
      <c r="G23" s="50">
        <f>IF(OR(ISBLANK(E23), E23=""), "", F23*C23)</f>
        <v/>
      </c>
      <c r="H23" s="51" t="inlineStr">
        <is>
          <t>2026-11-19</t>
        </is>
      </c>
      <c r="I23" s="52" t="inlineStr">
        <is>
          <t>Not Started</t>
        </is>
      </c>
      <c r="J23" s="59" t="inlineStr">
        <is>
          <t>Mandatory Test Hurdle (&gt;=50%)</t>
        </is>
      </c>
    </row>
    <row r="24" ht="20" customHeight="1">
      <c r="A24" s="54" t="inlineStr">
        <is>
          <t>Tests</t>
        </is>
      </c>
      <c r="B24" s="20" t="inlineStr">
        <is>
          <t>Test 4</t>
        </is>
      </c>
      <c r="C24" s="23" t="n">
        <v>0.15</v>
      </c>
      <c r="D24" s="55" t="n">
        <v>100</v>
      </c>
      <c r="E24" s="49" t="n"/>
      <c r="F24" s="23">
        <f>IF(OR(ISBLANK(E24), E24=""), "", E24/D24)</f>
        <v/>
      </c>
      <c r="G24" s="56">
        <f>IF(OR(ISBLANK(E24), E24=""), "", F24*C24)</f>
        <v/>
      </c>
      <c r="H24" s="57" t="inlineStr">
        <is>
          <t>2026-12-10</t>
        </is>
      </c>
      <c r="I24" s="52" t="inlineStr">
        <is>
          <t>Not Started</t>
        </is>
      </c>
      <c r="J24" s="60" t="inlineStr">
        <is>
          <t>Mandatory Test Hurdle (&gt;=50%)</t>
        </is>
      </c>
    </row>
    <row r="25" ht="22" customHeight="1">
      <c r="A25" s="27" t="inlineStr">
        <is>
          <t>COURSE TOTAL &amp; WEIGHTS</t>
        </is>
      </c>
      <c r="B25" s="27" t="n"/>
      <c r="C25" s="30">
        <f>SUM(C11:C24)</f>
        <v/>
      </c>
      <c r="D25" s="27">
        <f>SUM(D11:D24)</f>
        <v/>
      </c>
      <c r="E25" s="27">
        <f>SUM(E11:E24)</f>
        <v/>
      </c>
      <c r="F25" s="31" t="inlineStr">
        <is>
          <t>--</t>
        </is>
      </c>
      <c r="G25" s="61">
        <f>SUM(G11:G24)</f>
        <v/>
      </c>
      <c r="H25" s="62" t="inlineStr"/>
      <c r="I25" s="62" t="inlineStr"/>
      <c r="J25" s="62" t="inlineStr"/>
    </row>
  </sheetData>
  <mergeCells count="21">
    <mergeCell ref="C6:D6"/>
    <mergeCell ref="I6:J6"/>
    <mergeCell ref="C5:D5"/>
    <mergeCell ref="E5:F5"/>
    <mergeCell ref="A1:H1"/>
    <mergeCell ref="A6:B6"/>
    <mergeCell ref="A7:B7"/>
    <mergeCell ref="A25:B25"/>
    <mergeCell ref="G7:H7"/>
    <mergeCell ref="A9:J9"/>
    <mergeCell ref="I7:J7"/>
    <mergeCell ref="G6:H6"/>
    <mergeCell ref="E6:F6"/>
    <mergeCell ref="A5:B5"/>
    <mergeCell ref="G5:H5"/>
    <mergeCell ref="I5:J5"/>
    <mergeCell ref="I1:J1"/>
    <mergeCell ref="C7:D7"/>
    <mergeCell ref="E7:F7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12" customWidth="1" min="4" max="4"/>
    <col width="23" customWidth="1" min="5" max="5"/>
    <col width="12" customWidth="1" min="6" max="6"/>
    <col width="24" customWidth="1" min="7" max="7"/>
    <col width="13" customWidth="1" min="8" max="8"/>
    <col width="28" customWidth="1" min="9" max="9"/>
    <col width="32" customWidth="1" min="10" max="10"/>
  </cols>
  <sheetData>
    <row r="1" ht="24" customHeight="1">
      <c r="A1" s="1" t="inlineStr">
        <is>
          <t>DAT330: Introduction to Databases</t>
        </is>
      </c>
      <c r="I1" s="9">
        <f>HYPERLINK("#'Dashboard &amp; GPA'!A1", "⬅ Back to Dashboard")</f>
        <v/>
      </c>
      <c r="J1" s="9" t="n"/>
    </row>
    <row r="2" ht="18" customHeight="1">
      <c r="A2" s="2" t="inlineStr">
        <is>
          <t>Credits: 3.0  •  Classification: Technical Computing Core  •  Grade Scale: Seneca 4.0</t>
        </is>
      </c>
    </row>
    <row r="3" ht="20" customHeight="1">
      <c r="A3" s="41" t="inlineStr">
        <is>
          <t>📌 PASSING REQUIREMENTS: Achieve a grade of 50% or higher in the overall course  •  Achieve a weighted average of 50% or higher on all labs  •  Achieve a weighted average of 50% or higher on all tests  •  Achieve a weighted average of 50% or higher on assignments and project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</row>
    <row r="4" ht="8" customHeight="1"/>
    <row r="5" ht="16" customHeight="1">
      <c r="A5" s="4" t="inlineStr">
        <is>
          <t>COMPLETED WEIGHT</t>
        </is>
      </c>
      <c r="B5" s="4" t="n"/>
      <c r="C5" s="4" t="inlineStr">
        <is>
          <t>WEIGHTED EARNED</t>
        </is>
      </c>
      <c r="D5" s="4" t="n"/>
      <c r="E5" s="4" t="inlineStr">
        <is>
          <t>CURRENT AVERAGE</t>
        </is>
      </c>
      <c r="F5" s="4" t="n"/>
      <c r="G5" s="4" t="inlineStr">
        <is>
          <t>PROJECTED FINAL</t>
        </is>
      </c>
      <c r="H5" s="4" t="n"/>
      <c r="I5" s="4" t="inlineStr">
        <is>
          <t>HURDLE COMPLIANCE</t>
        </is>
      </c>
      <c r="J5" s="4" t="n"/>
    </row>
    <row r="6" ht="26" customHeight="1">
      <c r="A6" s="6">
        <f>SUMIF(E11:E30, "&lt;&gt;", C11:C30)</f>
        <v/>
      </c>
      <c r="B6" s="6" t="n"/>
      <c r="C6" s="42">
        <f>SUM(G11:G30)</f>
        <v/>
      </c>
      <c r="D6" s="42" t="n"/>
      <c r="E6" s="6">
        <f>IF(A6&gt;0, C6/A6, "--")</f>
        <v/>
      </c>
      <c r="F6" s="6" t="n"/>
      <c r="G6" s="6">
        <f>IF(A6&gt;0, C6 + (1-A6)*E6, "--")</f>
        <v/>
      </c>
      <c r="H6" s="6" t="n"/>
      <c r="I6" s="43">
        <f>IF(SUMIF(E28:E30, "&lt;&gt;", C28:C30)&lt;=0, "PENDING", IF(SUM(G28:G30)/SUMIF(E28:E30, "&lt;&gt;", C28:C30)&gt;=0.5, "ON TRACK (PASSED)", "⚠️ WARNING: &lt;50%"))</f>
        <v/>
      </c>
      <c r="J6" s="43" t="n"/>
    </row>
    <row r="7" ht="16" customHeight="1">
      <c r="A7" s="8" t="inlineStr">
        <is>
          <t>of 100.0% Course Total</t>
        </is>
      </c>
      <c r="B7" s="8" t="n"/>
      <c r="C7" s="8" t="inlineStr">
        <is>
          <t>Points Accumulated</t>
        </is>
      </c>
      <c r="D7" s="8" t="n"/>
      <c r="E7" s="8" t="inlineStr">
        <is>
          <t>Based on graded work</t>
        </is>
      </c>
      <c r="F7" s="8" t="n"/>
      <c r="G7" s="8" t="inlineStr">
        <is>
          <t>Assuming current pace</t>
        </is>
      </c>
      <c r="H7" s="8" t="n"/>
      <c r="I7" s="8" t="inlineStr">
        <is>
          <t>Must score &gt;=50% on Tests</t>
        </is>
      </c>
      <c r="J7" s="8" t="n"/>
    </row>
    <row r="8" ht="8" customHeight="1"/>
    <row r="9" ht="20" customHeight="1">
      <c r="A9" s="3" t="inlineStr">
        <is>
          <t>💡 ENTER MARKS: Enter your points earned in the light blue 'Earned Pts' column (Col E). Scores, weighted points, and GPA recalculate automatically.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26" customHeight="1">
      <c r="A10" s="44" t="inlineStr">
        <is>
          <t>Category</t>
        </is>
      </c>
      <c r="B10" s="45" t="inlineStr">
        <is>
          <t>Assessment Deliverable</t>
        </is>
      </c>
      <c r="C10" s="46" t="inlineStr">
        <is>
          <t>Weight %</t>
        </is>
      </c>
      <c r="D10" s="46" t="inlineStr">
        <is>
          <t>Max Pts</t>
        </is>
      </c>
      <c r="E10" s="44" t="inlineStr">
        <is>
          <t>Earned Pts ✍️</t>
        </is>
      </c>
      <c r="F10" s="44" t="inlineStr">
        <is>
          <t>Score %</t>
        </is>
      </c>
      <c r="G10" s="44" t="inlineStr">
        <is>
          <t>Weighted Earned %</t>
        </is>
      </c>
      <c r="H10" s="44" t="inlineStr">
        <is>
          <t>Due Date</t>
        </is>
      </c>
      <c r="I10" s="44" t="inlineStr">
        <is>
          <t>Status</t>
        </is>
      </c>
      <c r="J10" s="45" t="inlineStr">
        <is>
          <t>Hurdle / Notes</t>
        </is>
      </c>
    </row>
    <row r="11" ht="20" customHeight="1">
      <c r="A11" s="47" t="inlineStr">
        <is>
          <t>Management of Budget Allotment</t>
        </is>
      </c>
      <c r="B11" s="12" t="inlineStr">
        <is>
          <t>Budget Allotment</t>
        </is>
      </c>
      <c r="C11" s="15" t="n">
        <v>0.1</v>
      </c>
      <c r="D11" s="48" t="n">
        <v>100</v>
      </c>
      <c r="E11" s="49" t="n"/>
      <c r="F11" s="15">
        <f>IF(OR(ISBLANK(E11), E11=""), "", E11/D11)</f>
        <v/>
      </c>
      <c r="G11" s="50">
        <f>IF(OR(ISBLANK(E11), E11=""), "", F11*C11)</f>
        <v/>
      </c>
      <c r="H11" s="51" t="inlineStr">
        <is>
          <t>TBA</t>
        </is>
      </c>
      <c r="I11" s="52" t="inlineStr">
        <is>
          <t>Not Started</t>
        </is>
      </c>
      <c r="J11" s="53" t="inlineStr"/>
    </row>
    <row r="12" ht="20" customHeight="1">
      <c r="A12" s="54" t="inlineStr">
        <is>
          <t>Labs</t>
        </is>
      </c>
      <c r="B12" s="20" t="inlineStr">
        <is>
          <t>Lab 1</t>
        </is>
      </c>
      <c r="C12" s="23" t="n">
        <v>0.025</v>
      </c>
      <c r="D12" s="55" t="n">
        <v>100</v>
      </c>
      <c r="E12" s="49" t="n"/>
      <c r="F12" s="23">
        <f>IF(OR(ISBLANK(E12), E12=""), "", E12/D12)</f>
        <v/>
      </c>
      <c r="G12" s="56">
        <f>IF(OR(ISBLANK(E12), E12=""), "", F12*C12)</f>
        <v/>
      </c>
      <c r="H12" s="57" t="inlineStr">
        <is>
          <t>2026-09-17</t>
        </is>
      </c>
      <c r="I12" s="63" t="inlineStr">
        <is>
          <t>Done</t>
        </is>
      </c>
      <c r="J12" s="58" t="inlineStr"/>
    </row>
    <row r="13" ht="20" customHeight="1">
      <c r="A13" s="47" t="inlineStr">
        <is>
          <t>Labs</t>
        </is>
      </c>
      <c r="B13" s="12" t="inlineStr">
        <is>
          <t>Lab 2</t>
        </is>
      </c>
      <c r="C13" s="15" t="n">
        <v>0.025</v>
      </c>
      <c r="D13" s="48" t="n">
        <v>100</v>
      </c>
      <c r="E13" s="49" t="n"/>
      <c r="F13" s="15">
        <f>IF(OR(ISBLANK(E13), E13=""), "", E13/D13)</f>
        <v/>
      </c>
      <c r="G13" s="50">
        <f>IF(OR(ISBLANK(E13), E13=""), "", F13*C13)</f>
        <v/>
      </c>
      <c r="H13" s="51" t="inlineStr">
        <is>
          <t>2026-09-24</t>
        </is>
      </c>
      <c r="I13" s="52" t="inlineStr">
        <is>
          <t>Not Started</t>
        </is>
      </c>
      <c r="J13" s="53" t="inlineStr"/>
    </row>
    <row r="14" ht="20" customHeight="1">
      <c r="A14" s="54" t="inlineStr">
        <is>
          <t>Labs</t>
        </is>
      </c>
      <c r="B14" s="20" t="inlineStr">
        <is>
          <t>Lab 3</t>
        </is>
      </c>
      <c r="C14" s="23" t="n">
        <v>0.025</v>
      </c>
      <c r="D14" s="55" t="n">
        <v>100</v>
      </c>
      <c r="E14" s="49" t="n"/>
      <c r="F14" s="23">
        <f>IF(OR(ISBLANK(E14), E14=""), "", E14/D14)</f>
        <v/>
      </c>
      <c r="G14" s="56">
        <f>IF(OR(ISBLANK(E14), E14=""), "", F14*C14)</f>
        <v/>
      </c>
      <c r="H14" s="57" t="inlineStr">
        <is>
          <t>2026-10-08</t>
        </is>
      </c>
      <c r="I14" s="52" t="inlineStr">
        <is>
          <t>Not Started</t>
        </is>
      </c>
      <c r="J14" s="58" t="inlineStr"/>
    </row>
    <row r="15" ht="20" customHeight="1">
      <c r="A15" s="47" t="inlineStr">
        <is>
          <t>Labs</t>
        </is>
      </c>
      <c r="B15" s="12" t="inlineStr">
        <is>
          <t>Lab 4</t>
        </is>
      </c>
      <c r="C15" s="15" t="n">
        <v>0.025</v>
      </c>
      <c r="D15" s="48" t="n">
        <v>100</v>
      </c>
      <c r="E15" s="49" t="n"/>
      <c r="F15" s="15">
        <f>IF(OR(ISBLANK(E15), E15=""), "", E15/D15)</f>
        <v/>
      </c>
      <c r="G15" s="50">
        <f>IF(OR(ISBLANK(E15), E15=""), "", F15*C15)</f>
        <v/>
      </c>
      <c r="H15" s="51" t="inlineStr">
        <is>
          <t>2026-10-15</t>
        </is>
      </c>
      <c r="I15" s="52" t="inlineStr">
        <is>
          <t>Not Started</t>
        </is>
      </c>
      <c r="J15" s="53" t="inlineStr"/>
    </row>
    <row r="16" ht="20" customHeight="1">
      <c r="A16" s="54" t="inlineStr">
        <is>
          <t>Labs</t>
        </is>
      </c>
      <c r="B16" s="20" t="inlineStr">
        <is>
          <t>Lab 5</t>
        </is>
      </c>
      <c r="C16" s="23" t="n">
        <v>0.025</v>
      </c>
      <c r="D16" s="55" t="n">
        <v>100</v>
      </c>
      <c r="E16" s="49" t="n"/>
      <c r="F16" s="23">
        <f>IF(OR(ISBLANK(E16), E16=""), "", E16/D16)</f>
        <v/>
      </c>
      <c r="G16" s="56">
        <f>IF(OR(ISBLANK(E16), E16=""), "", F16*C16)</f>
        <v/>
      </c>
      <c r="H16" s="57" t="inlineStr">
        <is>
          <t>2026-11-5</t>
        </is>
      </c>
      <c r="I16" s="52" t="inlineStr">
        <is>
          <t>Not Started</t>
        </is>
      </c>
      <c r="J16" s="58" t="inlineStr"/>
    </row>
    <row r="17" ht="20" customHeight="1">
      <c r="A17" s="47" t="inlineStr">
        <is>
          <t>Labs</t>
        </is>
      </c>
      <c r="B17" s="12" t="inlineStr">
        <is>
          <t>Lab 6</t>
        </is>
      </c>
      <c r="C17" s="15" t="n">
        <v>0.025</v>
      </c>
      <c r="D17" s="48" t="n">
        <v>100</v>
      </c>
      <c r="E17" s="49" t="n"/>
      <c r="F17" s="15">
        <f>IF(OR(ISBLANK(E17), E17=""), "", E17/D17)</f>
        <v/>
      </c>
      <c r="G17" s="50">
        <f>IF(OR(ISBLANK(E17), E17=""), "", F17*C17)</f>
        <v/>
      </c>
      <c r="H17" s="51" t="inlineStr">
        <is>
          <t>2026-11-12</t>
        </is>
      </c>
      <c r="I17" s="52" t="inlineStr">
        <is>
          <t>Not Started</t>
        </is>
      </c>
      <c r="J17" s="53" t="inlineStr"/>
    </row>
    <row r="18" ht="20" customHeight="1">
      <c r="A18" s="54" t="inlineStr">
        <is>
          <t>Labs</t>
        </is>
      </c>
      <c r="B18" s="20" t="inlineStr">
        <is>
          <t>Lab 7</t>
        </is>
      </c>
      <c r="C18" s="23" t="n">
        <v>0.025</v>
      </c>
      <c r="D18" s="55" t="n">
        <v>100</v>
      </c>
      <c r="E18" s="49" t="n"/>
      <c r="F18" s="23">
        <f>IF(OR(ISBLANK(E18), E18=""), "", E18/D18)</f>
        <v/>
      </c>
      <c r="G18" s="56">
        <f>IF(OR(ISBLANK(E18), E18=""), "", F18*C18)</f>
        <v/>
      </c>
      <c r="H18" s="57" t="inlineStr">
        <is>
          <t>2026-11-19</t>
        </is>
      </c>
      <c r="I18" s="52" t="inlineStr">
        <is>
          <t>Not Started</t>
        </is>
      </c>
      <c r="J18" s="58" t="inlineStr"/>
    </row>
    <row r="19" ht="20" customHeight="1">
      <c r="A19" s="47" t="inlineStr">
        <is>
          <t>Labs</t>
        </is>
      </c>
      <c r="B19" s="12" t="inlineStr">
        <is>
          <t>Lab 8</t>
        </is>
      </c>
      <c r="C19" s="15" t="n">
        <v>0.025</v>
      </c>
      <c r="D19" s="48" t="n">
        <v>100</v>
      </c>
      <c r="E19" s="49" t="n"/>
      <c r="F19" s="15">
        <f>IF(OR(ISBLANK(E19), E19=""), "", E19/D19)</f>
        <v/>
      </c>
      <c r="G19" s="50">
        <f>IF(OR(ISBLANK(E19), E19=""), "", F19*C19)</f>
        <v/>
      </c>
      <c r="H19" s="51" t="inlineStr">
        <is>
          <t>2026-12-3</t>
        </is>
      </c>
      <c r="I19" s="52" t="inlineStr">
        <is>
          <t>Not Started</t>
        </is>
      </c>
      <c r="J19" s="53" t="inlineStr"/>
    </row>
    <row r="20" ht="20" customHeight="1">
      <c r="A20" s="54" t="inlineStr">
        <is>
          <t>Quizzes</t>
        </is>
      </c>
      <c r="B20" s="20" t="inlineStr">
        <is>
          <t>Quiz 1</t>
        </is>
      </c>
      <c r="C20" s="23" t="n">
        <v>0.02</v>
      </c>
      <c r="D20" s="55" t="n">
        <v>100</v>
      </c>
      <c r="E20" s="49" t="n"/>
      <c r="F20" s="23">
        <f>IF(OR(ISBLANK(E20), E20=""), "", E20/D20)</f>
        <v/>
      </c>
      <c r="G20" s="56">
        <f>IF(OR(ISBLANK(E20), E20=""), "", F20*C20)</f>
        <v/>
      </c>
      <c r="H20" s="57" t="inlineStr">
        <is>
          <t>2026-09-21</t>
        </is>
      </c>
      <c r="I20" s="52" t="inlineStr">
        <is>
          <t>Not Started</t>
        </is>
      </c>
      <c r="J20" s="58" t="inlineStr"/>
    </row>
    <row r="21" ht="20" customHeight="1">
      <c r="A21" s="47" t="inlineStr">
        <is>
          <t>Quizzes</t>
        </is>
      </c>
      <c r="B21" s="12" t="inlineStr">
        <is>
          <t>Quiz 2</t>
        </is>
      </c>
      <c r="C21" s="15" t="n">
        <v>0.02</v>
      </c>
      <c r="D21" s="48" t="n">
        <v>100</v>
      </c>
      <c r="E21" s="49" t="n"/>
      <c r="F21" s="15">
        <f>IF(OR(ISBLANK(E21), E21=""), "", E21/D21)</f>
        <v/>
      </c>
      <c r="G21" s="50">
        <f>IF(OR(ISBLANK(E21), E21=""), "", F21*C21)</f>
        <v/>
      </c>
      <c r="H21" s="51" t="inlineStr">
        <is>
          <t>2026-09-28</t>
        </is>
      </c>
      <c r="I21" s="52" t="inlineStr">
        <is>
          <t>Not Started</t>
        </is>
      </c>
      <c r="J21" s="53" t="inlineStr"/>
    </row>
    <row r="22" ht="20" customHeight="1">
      <c r="A22" s="54" t="inlineStr">
        <is>
          <t>Quizzes</t>
        </is>
      </c>
      <c r="B22" s="20" t="inlineStr">
        <is>
          <t>Quiz 3</t>
        </is>
      </c>
      <c r="C22" s="23" t="n">
        <v>0.02</v>
      </c>
      <c r="D22" s="55" t="n">
        <v>100</v>
      </c>
      <c r="E22" s="49" t="n"/>
      <c r="F22" s="23">
        <f>IF(OR(ISBLANK(E22), E22=""), "", E22/D22)</f>
        <v/>
      </c>
      <c r="G22" s="56">
        <f>IF(OR(ISBLANK(E22), E22=""), "", F22*C22)</f>
        <v/>
      </c>
      <c r="H22" s="57" t="inlineStr">
        <is>
          <t>2026-11-09</t>
        </is>
      </c>
      <c r="I22" s="52" t="inlineStr">
        <is>
          <t>Not Started</t>
        </is>
      </c>
      <c r="J22" s="58" t="inlineStr"/>
    </row>
    <row r="23" ht="20" customHeight="1">
      <c r="A23" s="47" t="inlineStr">
        <is>
          <t>Quizzes</t>
        </is>
      </c>
      <c r="B23" s="12" t="inlineStr">
        <is>
          <t>Quiz 4</t>
        </is>
      </c>
      <c r="C23" s="15" t="n">
        <v>0.02</v>
      </c>
      <c r="D23" s="48" t="n">
        <v>100</v>
      </c>
      <c r="E23" s="49" t="n"/>
      <c r="F23" s="15">
        <f>IF(OR(ISBLANK(E23), E23=""), "", E23/D23)</f>
        <v/>
      </c>
      <c r="G23" s="50">
        <f>IF(OR(ISBLANK(E23), E23=""), "", F23*C23)</f>
        <v/>
      </c>
      <c r="H23" s="51" t="inlineStr">
        <is>
          <t>2026-11-23</t>
        </is>
      </c>
      <c r="I23" s="52" t="inlineStr">
        <is>
          <t>Not Started</t>
        </is>
      </c>
      <c r="J23" s="53" t="inlineStr"/>
    </row>
    <row r="24" ht="20" customHeight="1">
      <c r="A24" s="54" t="inlineStr">
        <is>
          <t>Quizzes</t>
        </is>
      </c>
      <c r="B24" s="20" t="inlineStr">
        <is>
          <t>Quiz 5</t>
        </is>
      </c>
      <c r="C24" s="23" t="n">
        <v>0.02</v>
      </c>
      <c r="D24" s="55" t="n">
        <v>100</v>
      </c>
      <c r="E24" s="49" t="n"/>
      <c r="F24" s="23">
        <f>IF(OR(ISBLANK(E24), E24=""), "", E24/D24)</f>
        <v/>
      </c>
      <c r="G24" s="56">
        <f>IF(OR(ISBLANK(E24), E24=""), "", F24*C24)</f>
        <v/>
      </c>
      <c r="H24" s="57" t="inlineStr">
        <is>
          <t>2026-11-30</t>
        </is>
      </c>
      <c r="I24" s="52" t="inlineStr">
        <is>
          <t>Not Started</t>
        </is>
      </c>
      <c r="J24" s="58" t="inlineStr"/>
    </row>
    <row r="25" ht="20" customHeight="1">
      <c r="A25" s="47" t="inlineStr">
        <is>
          <t>Assignments</t>
        </is>
      </c>
      <c r="B25" s="12" t="inlineStr">
        <is>
          <t>Assignment 1</t>
        </is>
      </c>
      <c r="C25" s="15" t="n">
        <v>0.05</v>
      </c>
      <c r="D25" s="48" t="n">
        <v>100</v>
      </c>
      <c r="E25" s="49" t="n"/>
      <c r="F25" s="15">
        <f>IF(OR(ISBLANK(E25), E25=""), "", E25/D25)</f>
        <v/>
      </c>
      <c r="G25" s="50">
        <f>IF(OR(ISBLANK(E25), E25=""), "", F25*C25)</f>
        <v/>
      </c>
      <c r="H25" s="51" t="inlineStr">
        <is>
          <t>2026-10-01</t>
        </is>
      </c>
      <c r="I25" s="52" t="inlineStr">
        <is>
          <t>Not Started</t>
        </is>
      </c>
      <c r="J25" s="53" t="inlineStr"/>
    </row>
    <row r="26" ht="20" customHeight="1">
      <c r="A26" s="54" t="inlineStr">
        <is>
          <t>Assignments</t>
        </is>
      </c>
      <c r="B26" s="20" t="inlineStr">
        <is>
          <t>Assignment 2</t>
        </is>
      </c>
      <c r="C26" s="23" t="n">
        <v>0.05</v>
      </c>
      <c r="D26" s="55" t="n">
        <v>100</v>
      </c>
      <c r="E26" s="49" t="n"/>
      <c r="F26" s="23">
        <f>IF(OR(ISBLANK(E26), E26=""), "", E26/D26)</f>
        <v/>
      </c>
      <c r="G26" s="56">
        <f>IF(OR(ISBLANK(E26), E26=""), "", F26*C26)</f>
        <v/>
      </c>
      <c r="H26" s="57" t="inlineStr">
        <is>
          <t>2026-10-22</t>
        </is>
      </c>
      <c r="I26" s="52" t="inlineStr">
        <is>
          <t>Not Started</t>
        </is>
      </c>
      <c r="J26" s="58" t="inlineStr"/>
    </row>
    <row r="27" ht="20" customHeight="1">
      <c r="A27" s="47" t="inlineStr">
        <is>
          <t>Assignments</t>
        </is>
      </c>
      <c r="B27" s="12" t="inlineStr">
        <is>
          <t>Assignment 3</t>
        </is>
      </c>
      <c r="C27" s="15" t="n">
        <v>0.05</v>
      </c>
      <c r="D27" s="48" t="n">
        <v>100</v>
      </c>
      <c r="E27" s="49" t="n"/>
      <c r="F27" s="15">
        <f>IF(OR(ISBLANK(E27), E27=""), "", E27/D27)</f>
        <v/>
      </c>
      <c r="G27" s="50">
        <f>IF(OR(ISBLANK(E27), E27=""), "", F27*C27)</f>
        <v/>
      </c>
      <c r="H27" s="51" t="inlineStr">
        <is>
          <t>2026-11-26</t>
        </is>
      </c>
      <c r="I27" s="52" t="inlineStr">
        <is>
          <t>Not Started</t>
        </is>
      </c>
      <c r="J27" s="53" t="inlineStr"/>
    </row>
    <row r="28" ht="20" customHeight="1">
      <c r="A28" s="54" t="inlineStr">
        <is>
          <t>Midterm Test</t>
        </is>
      </c>
      <c r="B28" s="20" t="inlineStr">
        <is>
          <t>Midterm Test</t>
        </is>
      </c>
      <c r="C28" s="23" t="n">
        <v>0.15</v>
      </c>
      <c r="D28" s="55" t="n">
        <v>100</v>
      </c>
      <c r="E28" s="49" t="n"/>
      <c r="F28" s="23">
        <f>IF(OR(ISBLANK(E28), E28=""), "", E28/D28)</f>
        <v/>
      </c>
      <c r="G28" s="56">
        <f>IF(OR(ISBLANK(E28), E28=""), "", F28*C28)</f>
        <v/>
      </c>
      <c r="H28" s="57" t="inlineStr">
        <is>
          <t>2026-10-19</t>
        </is>
      </c>
      <c r="I28" s="52" t="inlineStr">
        <is>
          <t>Not Started</t>
        </is>
      </c>
      <c r="J28" s="60" t="inlineStr">
        <is>
          <t>Mandatory Test Hurdle (&gt;=50%)</t>
        </is>
      </c>
    </row>
    <row r="29" ht="20" customHeight="1">
      <c r="A29" s="47" t="inlineStr">
        <is>
          <t>Final Test</t>
        </is>
      </c>
      <c r="B29" s="12" t="inlineStr">
        <is>
          <t>Final Test</t>
        </is>
      </c>
      <c r="C29" s="15" t="n">
        <v>0.15</v>
      </c>
      <c r="D29" s="48" t="n">
        <v>100</v>
      </c>
      <c r="E29" s="49" t="n"/>
      <c r="F29" s="15">
        <f>IF(OR(ISBLANK(E29), E29=""), "", E29/D29)</f>
        <v/>
      </c>
      <c r="G29" s="50">
        <f>IF(OR(ISBLANK(E29), E29=""), "", F29*C29)</f>
        <v/>
      </c>
      <c r="H29" s="51" t="inlineStr">
        <is>
          <t>TBA</t>
        </is>
      </c>
      <c r="I29" s="52" t="inlineStr">
        <is>
          <t>Not Started</t>
        </is>
      </c>
      <c r="J29" s="59" t="inlineStr">
        <is>
          <t>Mandatory Test Hurdle (&gt;=50%)</t>
        </is>
      </c>
    </row>
    <row r="30" ht="20" customHeight="1">
      <c r="A30" s="54" t="inlineStr">
        <is>
          <t>Final Project</t>
        </is>
      </c>
      <c r="B30" s="20" t="inlineStr">
        <is>
          <t>Final Project</t>
        </is>
      </c>
      <c r="C30" s="23" t="n">
        <v>0.15</v>
      </c>
      <c r="D30" s="55" t="n">
        <v>100</v>
      </c>
      <c r="E30" s="49" t="n"/>
      <c r="F30" s="23">
        <f>IF(OR(ISBLANK(E30), E30=""), "", E30/D30)</f>
        <v/>
      </c>
      <c r="G30" s="56">
        <f>IF(OR(ISBLANK(E30), E30=""), "", F30*C30)</f>
        <v/>
      </c>
      <c r="H30" s="57" t="inlineStr">
        <is>
          <t>2026-12-07</t>
        </is>
      </c>
      <c r="I30" s="52" t="inlineStr">
        <is>
          <t>Not Started</t>
        </is>
      </c>
      <c r="J30" s="60" t="inlineStr">
        <is>
          <t>Mandatory Test Hurdle (&gt;=50%)</t>
        </is>
      </c>
    </row>
    <row r="31" ht="22" customHeight="1">
      <c r="A31" s="27" t="inlineStr">
        <is>
          <t>COURSE TOTAL &amp; WEIGHTS</t>
        </is>
      </c>
      <c r="B31" s="27" t="n"/>
      <c r="C31" s="30">
        <f>SUM(C11:C30)</f>
        <v/>
      </c>
      <c r="D31" s="27">
        <f>SUM(D11:D30)</f>
        <v/>
      </c>
      <c r="E31" s="27">
        <f>SUM(E11:E30)</f>
        <v/>
      </c>
      <c r="F31" s="31" t="inlineStr">
        <is>
          <t>--</t>
        </is>
      </c>
      <c r="G31" s="61">
        <f>SUM(G11:G30)</f>
        <v/>
      </c>
      <c r="H31" s="62" t="inlineStr"/>
      <c r="I31" s="62" t="inlineStr"/>
      <c r="J31" s="62" t="inlineStr"/>
    </row>
  </sheetData>
  <mergeCells count="21">
    <mergeCell ref="C6:D6"/>
    <mergeCell ref="I6:J6"/>
    <mergeCell ref="C5:D5"/>
    <mergeCell ref="E5:F5"/>
    <mergeCell ref="A1:H1"/>
    <mergeCell ref="A6:B6"/>
    <mergeCell ref="A7:B7"/>
    <mergeCell ref="G7:H7"/>
    <mergeCell ref="A9:J9"/>
    <mergeCell ref="I7:J7"/>
    <mergeCell ref="G6:H6"/>
    <mergeCell ref="E6:F6"/>
    <mergeCell ref="A5:B5"/>
    <mergeCell ref="G5:H5"/>
    <mergeCell ref="I5:J5"/>
    <mergeCell ref="I1:J1"/>
    <mergeCell ref="C7:D7"/>
    <mergeCell ref="E7:F7"/>
    <mergeCell ref="A3:J3"/>
    <mergeCell ref="A2:J2"/>
    <mergeCell ref="A31:B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12" customWidth="1" min="4" max="4"/>
    <col width="23" customWidth="1" min="5" max="5"/>
    <col width="12" customWidth="1" min="6" max="6"/>
    <col width="24" customWidth="1" min="7" max="7"/>
    <col width="13" customWidth="1" min="8" max="8"/>
    <col width="28" customWidth="1" min="9" max="9"/>
    <col width="32" customWidth="1" min="10" max="10"/>
  </cols>
  <sheetData>
    <row r="1" ht="24" customHeight="1">
      <c r="A1" s="1" t="inlineStr">
        <is>
          <t>MST300: Introduction to Microsoft Cloud Technologies</t>
        </is>
      </c>
      <c r="I1" s="9">
        <f>HYPERLINK("#'Dashboard &amp; GPA'!A1", "⬅ Back to Dashboard")</f>
        <v/>
      </c>
      <c r="J1" s="9" t="n"/>
    </row>
    <row r="2" ht="18" customHeight="1">
      <c r="A2" s="2" t="inlineStr">
        <is>
          <t>Credits: 3.0  •  Classification: Technical Computing Core  •  Grade Scale: Seneca 4.0</t>
        </is>
      </c>
    </row>
    <row r="3" ht="20" customHeight="1">
      <c r="A3" s="41" t="inlineStr">
        <is>
          <t>📌 PASSING REQUIREMENTS: Achieve a grade of 50% or higher in the overall course  •  Achieve a weighted average of 50% or higher on all labs  •  Achieve a weighted average of 50% or higher on all projects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</row>
    <row r="4" ht="8" customHeight="1"/>
    <row r="5" ht="16" customHeight="1">
      <c r="A5" s="4" t="inlineStr">
        <is>
          <t>COMPLETED WEIGHT</t>
        </is>
      </c>
      <c r="B5" s="4" t="n"/>
      <c r="C5" s="4" t="inlineStr">
        <is>
          <t>WEIGHTED EARNED</t>
        </is>
      </c>
      <c r="D5" s="4" t="n"/>
      <c r="E5" s="4" t="inlineStr">
        <is>
          <t>CURRENT AVERAGE</t>
        </is>
      </c>
      <c r="F5" s="4" t="n"/>
      <c r="G5" s="4" t="inlineStr">
        <is>
          <t>PROJECTED FINAL</t>
        </is>
      </c>
      <c r="H5" s="4" t="n"/>
      <c r="I5" s="4" t="inlineStr">
        <is>
          <t>HURDLE COMPLIANCE</t>
        </is>
      </c>
      <c r="J5" s="4" t="n"/>
    </row>
    <row r="6" ht="26" customHeight="1">
      <c r="A6" s="6">
        <f>SUMIF(E11:E27, "&lt;&gt;", C11:C27)</f>
        <v/>
      </c>
      <c r="B6" s="6" t="n"/>
      <c r="C6" s="42">
        <f>SUM(G11:G27)</f>
        <v/>
      </c>
      <c r="D6" s="42" t="n"/>
      <c r="E6" s="6">
        <f>IF(A6&gt;0, C6/A6, "--")</f>
        <v/>
      </c>
      <c r="F6" s="6" t="n"/>
      <c r="G6" s="6">
        <f>IF(A6&gt;0, C6 + (1-A6)*E6, "--")</f>
        <v/>
      </c>
      <c r="H6" s="6" t="n"/>
      <c r="I6" s="43">
        <f>IF(SUMIF(E26:E27, "&lt;&gt;", C26:C27)&lt;=0, "PENDING", IF(SUM(G26:G27)/SUMIF(E26:E27, "&lt;&gt;", C26:C27)&gt;=0.5, "ON TRACK (PASSED)", "⚠️ WARNING: &lt;50%"))</f>
        <v/>
      </c>
      <c r="J6" s="43" t="n"/>
    </row>
    <row r="7" ht="16" customHeight="1">
      <c r="A7" s="8" t="inlineStr">
        <is>
          <t>of 100.0% Course Total</t>
        </is>
      </c>
      <c r="B7" s="8" t="n"/>
      <c r="C7" s="8" t="inlineStr">
        <is>
          <t>Points Accumulated</t>
        </is>
      </c>
      <c r="D7" s="8" t="n"/>
      <c r="E7" s="8" t="inlineStr">
        <is>
          <t>Based on graded work</t>
        </is>
      </c>
      <c r="F7" s="8" t="n"/>
      <c r="G7" s="8" t="inlineStr">
        <is>
          <t>Assuming current pace</t>
        </is>
      </c>
      <c r="H7" s="8" t="n"/>
      <c r="I7" s="8" t="inlineStr">
        <is>
          <t>Must score &gt;=50% on Tests</t>
        </is>
      </c>
      <c r="J7" s="8" t="n"/>
    </row>
    <row r="8" ht="8" customHeight="1"/>
    <row r="9" ht="20" customHeight="1">
      <c r="A9" s="3" t="inlineStr">
        <is>
          <t>💡 ENTER MARKS: Enter your points earned in the light blue 'Earned Pts' column (Col E). Scores, weighted points, and GPA recalculate automatically.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26" customHeight="1">
      <c r="A10" s="44" t="inlineStr">
        <is>
          <t>Category</t>
        </is>
      </c>
      <c r="B10" s="45" t="inlineStr">
        <is>
          <t>Assessment Deliverable</t>
        </is>
      </c>
      <c r="C10" s="46" t="inlineStr">
        <is>
          <t>Weight %</t>
        </is>
      </c>
      <c r="D10" s="46" t="inlineStr">
        <is>
          <t>Max Pts</t>
        </is>
      </c>
      <c r="E10" s="44" t="inlineStr">
        <is>
          <t>Earned Pts ✍️</t>
        </is>
      </c>
      <c r="F10" s="44" t="inlineStr">
        <is>
          <t>Score %</t>
        </is>
      </c>
      <c r="G10" s="44" t="inlineStr">
        <is>
          <t>Weighted Earned %</t>
        </is>
      </c>
      <c r="H10" s="44" t="inlineStr">
        <is>
          <t>Due Date</t>
        </is>
      </c>
      <c r="I10" s="44" t="inlineStr">
        <is>
          <t>Status</t>
        </is>
      </c>
      <c r="J10" s="45" t="inlineStr">
        <is>
          <t>Hurdle / Notes</t>
        </is>
      </c>
    </row>
    <row r="11" ht="20" customHeight="1">
      <c r="A11" s="47" t="inlineStr">
        <is>
          <t>Management of Budget Allotment</t>
        </is>
      </c>
      <c r="B11" s="12" t="inlineStr">
        <is>
          <t>Budget Allotment</t>
        </is>
      </c>
      <c r="C11" s="15" t="n">
        <v>0.1</v>
      </c>
      <c r="D11" s="48" t="n">
        <v>100</v>
      </c>
      <c r="E11" s="49" t="n"/>
      <c r="F11" s="15">
        <f>IF(OR(ISBLANK(E11), E11=""), "", E11/D11)</f>
        <v/>
      </c>
      <c r="G11" s="50">
        <f>IF(OR(ISBLANK(E11), E11=""), "", F11*C11)</f>
        <v/>
      </c>
      <c r="H11" s="51" t="inlineStr">
        <is>
          <t>TBA</t>
        </is>
      </c>
      <c r="I11" s="52" t="inlineStr">
        <is>
          <t>Not Started</t>
        </is>
      </c>
      <c r="J11" s="53" t="inlineStr"/>
    </row>
    <row r="12" ht="20" customHeight="1">
      <c r="A12" s="54" t="inlineStr">
        <is>
          <t>Labs</t>
        </is>
      </c>
      <c r="B12" s="20" t="inlineStr">
        <is>
          <t>Lab 1</t>
        </is>
      </c>
      <c r="C12" s="23" t="n">
        <v>0.0333</v>
      </c>
      <c r="D12" s="55" t="n">
        <v>100</v>
      </c>
      <c r="E12" s="49" t="n"/>
      <c r="F12" s="23">
        <f>IF(OR(ISBLANK(E12), E12=""), "", E12/D12)</f>
        <v/>
      </c>
      <c r="G12" s="56">
        <f>IF(OR(ISBLANK(E12), E12=""), "", F12*C12)</f>
        <v/>
      </c>
      <c r="H12" s="57" t="inlineStr">
        <is>
          <t>2026-10-13</t>
        </is>
      </c>
      <c r="I12" s="52" t="inlineStr">
        <is>
          <t>Not Started</t>
        </is>
      </c>
      <c r="J12" s="58" t="inlineStr"/>
    </row>
    <row r="13" ht="20" customHeight="1">
      <c r="A13" s="47" t="inlineStr">
        <is>
          <t>Labs</t>
        </is>
      </c>
      <c r="B13" s="12" t="inlineStr">
        <is>
          <t>Lab 2</t>
        </is>
      </c>
      <c r="C13" s="15" t="n">
        <v>0.0333</v>
      </c>
      <c r="D13" s="48" t="n">
        <v>100</v>
      </c>
      <c r="E13" s="49" t="n"/>
      <c r="F13" s="15">
        <f>IF(OR(ISBLANK(E13), E13=""), "", E13/D13)</f>
        <v/>
      </c>
      <c r="G13" s="50">
        <f>IF(OR(ISBLANK(E13), E13=""), "", F13*C13)</f>
        <v/>
      </c>
      <c r="H13" s="51" t="inlineStr">
        <is>
          <t>2026-10-6</t>
        </is>
      </c>
      <c r="I13" s="52" t="inlineStr">
        <is>
          <t>Not Started</t>
        </is>
      </c>
      <c r="J13" s="53" t="inlineStr"/>
    </row>
    <row r="14" ht="20" customHeight="1">
      <c r="A14" s="54" t="inlineStr">
        <is>
          <t>Labs</t>
        </is>
      </c>
      <c r="B14" s="20" t="inlineStr">
        <is>
          <t>Lab 3</t>
        </is>
      </c>
      <c r="C14" s="23" t="n">
        <v>0.0333</v>
      </c>
      <c r="D14" s="55" t="n">
        <v>100</v>
      </c>
      <c r="E14" s="49" t="n"/>
      <c r="F14" s="23">
        <f>IF(OR(ISBLANK(E14), E14=""), "", E14/D14)</f>
        <v/>
      </c>
      <c r="G14" s="56">
        <f>IF(OR(ISBLANK(E14), E14=""), "", F14*C14)</f>
        <v/>
      </c>
      <c r="H14" s="57" t="inlineStr">
        <is>
          <t>2026-10-6</t>
        </is>
      </c>
      <c r="I14" s="52" t="inlineStr">
        <is>
          <t>Not Started</t>
        </is>
      </c>
      <c r="J14" s="58" t="inlineStr"/>
    </row>
    <row r="15" ht="20" customHeight="1">
      <c r="A15" s="47" t="inlineStr">
        <is>
          <t>Labs</t>
        </is>
      </c>
      <c r="B15" s="12" t="inlineStr">
        <is>
          <t>Lab 4</t>
        </is>
      </c>
      <c r="C15" s="15" t="n">
        <v>0.0333</v>
      </c>
      <c r="D15" s="48" t="n">
        <v>100</v>
      </c>
      <c r="E15" s="49" t="n"/>
      <c r="F15" s="15">
        <f>IF(OR(ISBLANK(E15), E15=""), "", E15/D15)</f>
        <v/>
      </c>
      <c r="G15" s="50">
        <f>IF(OR(ISBLANK(E15), E15=""), "", F15*C15)</f>
        <v/>
      </c>
      <c r="H15" s="51" t="inlineStr">
        <is>
          <t>2026-10-6</t>
        </is>
      </c>
      <c r="I15" s="52" t="inlineStr">
        <is>
          <t>Not Started</t>
        </is>
      </c>
      <c r="J15" s="53" t="inlineStr"/>
    </row>
    <row r="16" ht="20" customHeight="1">
      <c r="A16" s="54" t="inlineStr">
        <is>
          <t>Labs</t>
        </is>
      </c>
      <c r="B16" s="20" t="inlineStr">
        <is>
          <t>Lab 5</t>
        </is>
      </c>
      <c r="C16" s="23" t="n">
        <v>0.0333</v>
      </c>
      <c r="D16" s="55" t="n">
        <v>100</v>
      </c>
      <c r="E16" s="49" t="n"/>
      <c r="F16" s="23">
        <f>IF(OR(ISBLANK(E16), E16=""), "", E16/D16)</f>
        <v/>
      </c>
      <c r="G16" s="56">
        <f>IF(OR(ISBLANK(E16), E16=""), "", F16*C16)</f>
        <v/>
      </c>
      <c r="H16" s="57" t="inlineStr">
        <is>
          <t>2026-10-6</t>
        </is>
      </c>
      <c r="I16" s="52" t="inlineStr">
        <is>
          <t>Not Started</t>
        </is>
      </c>
      <c r="J16" s="58" t="inlineStr"/>
    </row>
    <row r="17" ht="20" customHeight="1">
      <c r="A17" s="47" t="inlineStr">
        <is>
          <t>Labs</t>
        </is>
      </c>
      <c r="B17" s="12" t="inlineStr">
        <is>
          <t>Lab 6</t>
        </is>
      </c>
      <c r="C17" s="15" t="n">
        <v>0.0335</v>
      </c>
      <c r="D17" s="48" t="n">
        <v>100</v>
      </c>
      <c r="E17" s="49" t="n"/>
      <c r="F17" s="15">
        <f>IF(OR(ISBLANK(E17), E17=""), "", E17/D17)</f>
        <v/>
      </c>
      <c r="G17" s="50">
        <f>IF(OR(ISBLANK(E17), E17=""), "", F17*C17)</f>
        <v/>
      </c>
      <c r="H17" s="51" t="inlineStr">
        <is>
          <t>2026-10-6</t>
        </is>
      </c>
      <c r="I17" s="52" t="inlineStr">
        <is>
          <t>Not Started</t>
        </is>
      </c>
      <c r="J17" s="53" t="inlineStr"/>
    </row>
    <row r="18" ht="20" customHeight="1">
      <c r="A18" s="54" t="inlineStr">
        <is>
          <t>Quizzes</t>
        </is>
      </c>
      <c r="B18" s="20" t="inlineStr">
        <is>
          <t>Quiz 1</t>
        </is>
      </c>
      <c r="C18" s="23" t="n">
        <v>0.025</v>
      </c>
      <c r="D18" s="55" t="n">
        <v>100</v>
      </c>
      <c r="E18" s="49" t="n"/>
      <c r="F18" s="23">
        <f>IF(OR(ISBLANK(E18), E18=""), "", E18/D18)</f>
        <v/>
      </c>
      <c r="G18" s="56">
        <f>IF(OR(ISBLANK(E18), E18=""), "", F18*C18)</f>
        <v/>
      </c>
      <c r="H18" s="57" t="inlineStr">
        <is>
          <t>2026-9-22</t>
        </is>
      </c>
      <c r="I18" s="52" t="inlineStr">
        <is>
          <t>Not Started</t>
        </is>
      </c>
      <c r="J18" s="58" t="inlineStr"/>
    </row>
    <row r="19" ht="20" customHeight="1">
      <c r="A19" s="47" t="inlineStr">
        <is>
          <t>Quizzes</t>
        </is>
      </c>
      <c r="B19" s="12" t="inlineStr">
        <is>
          <t>Quiz 2</t>
        </is>
      </c>
      <c r="C19" s="15" t="n">
        <v>0.025</v>
      </c>
      <c r="D19" s="48" t="n">
        <v>100</v>
      </c>
      <c r="E19" s="49" t="n"/>
      <c r="F19" s="15">
        <f>IF(OR(ISBLANK(E19), E19=""), "", E19/D19)</f>
        <v/>
      </c>
      <c r="G19" s="50">
        <f>IF(OR(ISBLANK(E19), E19=""), "", F19*C19)</f>
        <v/>
      </c>
      <c r="H19" s="51" t="inlineStr">
        <is>
          <t>2026-10-06</t>
        </is>
      </c>
      <c r="I19" s="52" t="inlineStr">
        <is>
          <t>Not Started</t>
        </is>
      </c>
      <c r="J19" s="53" t="inlineStr"/>
    </row>
    <row r="20" ht="20" customHeight="1">
      <c r="A20" s="54" t="inlineStr">
        <is>
          <t>Quizzes</t>
        </is>
      </c>
      <c r="B20" s="20" t="inlineStr">
        <is>
          <t>Quiz 3</t>
        </is>
      </c>
      <c r="C20" s="23" t="n">
        <v>0.025</v>
      </c>
      <c r="D20" s="55" t="n">
        <v>100</v>
      </c>
      <c r="E20" s="49" t="n"/>
      <c r="F20" s="23">
        <f>IF(OR(ISBLANK(E20), E20=""), "", E20/D20)</f>
        <v/>
      </c>
      <c r="G20" s="56">
        <f>IF(OR(ISBLANK(E20), E20=""), "", F20*C20)</f>
        <v/>
      </c>
      <c r="H20" s="57" t="inlineStr">
        <is>
          <t>2026-10-13</t>
        </is>
      </c>
      <c r="I20" s="52" t="inlineStr">
        <is>
          <t>Not Started</t>
        </is>
      </c>
      <c r="J20" s="58" t="inlineStr"/>
    </row>
    <row r="21" ht="20" customHeight="1">
      <c r="A21" s="47" t="inlineStr">
        <is>
          <t>Quizzes</t>
        </is>
      </c>
      <c r="B21" s="12" t="inlineStr">
        <is>
          <t>Quiz 4</t>
        </is>
      </c>
      <c r="C21" s="15" t="n">
        <v>0.025</v>
      </c>
      <c r="D21" s="48" t="n">
        <v>100</v>
      </c>
      <c r="E21" s="49" t="n"/>
      <c r="F21" s="15">
        <f>IF(OR(ISBLANK(E21), E21=""), "", E21/D21)</f>
        <v/>
      </c>
      <c r="G21" s="50">
        <f>IF(OR(ISBLANK(E21), E21=""), "", F21*C21)</f>
        <v/>
      </c>
      <c r="H21" s="51" t="inlineStr">
        <is>
          <t>2026-11-10</t>
        </is>
      </c>
      <c r="I21" s="52" t="inlineStr">
        <is>
          <t>Not Started</t>
        </is>
      </c>
      <c r="J21" s="53" t="inlineStr"/>
    </row>
    <row r="22" ht="20" customHeight="1">
      <c r="A22" s="54" t="inlineStr">
        <is>
          <t>Quizzes</t>
        </is>
      </c>
      <c r="B22" s="20" t="inlineStr">
        <is>
          <t>Quiz 5</t>
        </is>
      </c>
      <c r="C22" s="23" t="n">
        <v>0.025</v>
      </c>
      <c r="D22" s="55" t="n">
        <v>100</v>
      </c>
      <c r="E22" s="49" t="n"/>
      <c r="F22" s="23">
        <f>IF(OR(ISBLANK(E22), E22=""), "", E22/D22)</f>
        <v/>
      </c>
      <c r="G22" s="56">
        <f>IF(OR(ISBLANK(E22), E22=""), "", F22*C22)</f>
        <v/>
      </c>
      <c r="H22" s="57" t="inlineStr">
        <is>
          <t>2026-12-01</t>
        </is>
      </c>
      <c r="I22" s="52" t="inlineStr">
        <is>
          <t>Not Started</t>
        </is>
      </c>
      <c r="J22" s="58" t="inlineStr"/>
    </row>
    <row r="23" ht="20" customHeight="1">
      <c r="A23" s="47" t="inlineStr">
        <is>
          <t>Quizzes</t>
        </is>
      </c>
      <c r="B23" s="12" t="inlineStr">
        <is>
          <t>Quiz 6</t>
        </is>
      </c>
      <c r="C23" s="15" t="n">
        <v>0.025</v>
      </c>
      <c r="D23" s="48" t="n">
        <v>100</v>
      </c>
      <c r="E23" s="49" t="n"/>
      <c r="F23" s="15">
        <f>IF(OR(ISBLANK(E23), E23=""), "", E23/D23)</f>
        <v/>
      </c>
      <c r="G23" s="50">
        <f>IF(OR(ISBLANK(E23), E23=""), "", F23*C23)</f>
        <v/>
      </c>
      <c r="H23" s="51" t="inlineStr">
        <is>
          <t>2026-12-08</t>
        </is>
      </c>
      <c r="I23" s="52" t="inlineStr">
        <is>
          <t>Not Started</t>
        </is>
      </c>
      <c r="J23" s="53" t="inlineStr"/>
    </row>
    <row r="24" ht="20" customHeight="1">
      <c r="A24" s="54" t="inlineStr">
        <is>
          <t>Projects</t>
        </is>
      </c>
      <c r="B24" s="20" t="inlineStr">
        <is>
          <t>Project 1</t>
        </is>
      </c>
      <c r="C24" s="23" t="n">
        <v>0.15</v>
      </c>
      <c r="D24" s="55" t="n">
        <v>100</v>
      </c>
      <c r="E24" s="49" t="n"/>
      <c r="F24" s="23">
        <f>IF(OR(ISBLANK(E24), E24=""), "", E24/D24)</f>
        <v/>
      </c>
      <c r="G24" s="56">
        <f>IF(OR(ISBLANK(E24), E24=""), "", F24*C24)</f>
        <v/>
      </c>
      <c r="H24" s="57" t="inlineStr">
        <is>
          <t>2026-11-03</t>
        </is>
      </c>
      <c r="I24" s="52" t="inlineStr">
        <is>
          <t>Not Started</t>
        </is>
      </c>
      <c r="J24" s="58" t="inlineStr"/>
    </row>
    <row r="25" ht="20" customHeight="1">
      <c r="A25" s="47" t="inlineStr">
        <is>
          <t>Projects</t>
        </is>
      </c>
      <c r="B25" s="12" t="inlineStr">
        <is>
          <t>Project 2</t>
        </is>
      </c>
      <c r="C25" s="15" t="n">
        <v>0.15</v>
      </c>
      <c r="D25" s="48" t="n">
        <v>100</v>
      </c>
      <c r="E25" s="49" t="n"/>
      <c r="F25" s="15">
        <f>IF(OR(ISBLANK(E25), E25=""), "", E25/D25)</f>
        <v/>
      </c>
      <c r="G25" s="50">
        <f>IF(OR(ISBLANK(E25), E25=""), "", F25*C25)</f>
        <v/>
      </c>
      <c r="H25" s="51" t="inlineStr">
        <is>
          <t>2026-12-08</t>
        </is>
      </c>
      <c r="I25" s="52" t="inlineStr">
        <is>
          <t>Not Started</t>
        </is>
      </c>
      <c r="J25" s="53" t="inlineStr"/>
    </row>
    <row r="26" ht="20" customHeight="1">
      <c r="A26" s="54" t="inlineStr">
        <is>
          <t>Tests</t>
        </is>
      </c>
      <c r="B26" s="20" t="inlineStr">
        <is>
          <t>Midterm Test</t>
        </is>
      </c>
      <c r="C26" s="23" t="n">
        <v>0.1</v>
      </c>
      <c r="D26" s="55" t="n">
        <v>100</v>
      </c>
      <c r="E26" s="49" t="n"/>
      <c r="F26" s="23">
        <f>IF(OR(ISBLANK(E26), E26=""), "", E26/D26)</f>
        <v/>
      </c>
      <c r="G26" s="56">
        <f>IF(OR(ISBLANK(E26), E26=""), "", F26*C26)</f>
        <v/>
      </c>
      <c r="H26" s="57" t="inlineStr">
        <is>
          <t>TBA</t>
        </is>
      </c>
      <c r="I26" s="52" t="inlineStr">
        <is>
          <t>Not Started</t>
        </is>
      </c>
      <c r="J26" s="60" t="inlineStr">
        <is>
          <t>Mandatory Test Hurdle (&gt;=50%)</t>
        </is>
      </c>
    </row>
    <row r="27" ht="20" customHeight="1">
      <c r="A27" s="47" t="inlineStr">
        <is>
          <t>Tests</t>
        </is>
      </c>
      <c r="B27" s="12" t="inlineStr">
        <is>
          <t>Final Test</t>
        </is>
      </c>
      <c r="C27" s="15" t="n">
        <v>0.15</v>
      </c>
      <c r="D27" s="48" t="n">
        <v>100</v>
      </c>
      <c r="E27" s="49" t="n"/>
      <c r="F27" s="15">
        <f>IF(OR(ISBLANK(E27), E27=""), "", E27/D27)</f>
        <v/>
      </c>
      <c r="G27" s="50">
        <f>IF(OR(ISBLANK(E27), E27=""), "", F27*C27)</f>
        <v/>
      </c>
      <c r="H27" s="51" t="inlineStr">
        <is>
          <t>TBA</t>
        </is>
      </c>
      <c r="I27" s="52" t="inlineStr">
        <is>
          <t>Not Started</t>
        </is>
      </c>
      <c r="J27" s="59" t="inlineStr">
        <is>
          <t>Mandatory Test Hurdle (&gt;=50%)</t>
        </is>
      </c>
    </row>
    <row r="28" ht="22" customHeight="1">
      <c r="A28" s="27" t="inlineStr">
        <is>
          <t>COURSE TOTAL &amp; WEIGHTS</t>
        </is>
      </c>
      <c r="B28" s="27" t="n"/>
      <c r="C28" s="30">
        <f>SUM(C11:C27)</f>
        <v/>
      </c>
      <c r="D28" s="27">
        <f>SUM(D11:D27)</f>
        <v/>
      </c>
      <c r="E28" s="27">
        <f>SUM(E11:E27)</f>
        <v/>
      </c>
      <c r="F28" s="31" t="inlineStr">
        <is>
          <t>--</t>
        </is>
      </c>
      <c r="G28" s="61">
        <f>SUM(G11:G27)</f>
        <v/>
      </c>
      <c r="H28" s="62" t="inlineStr"/>
      <c r="I28" s="62" t="inlineStr"/>
      <c r="J28" s="62" t="inlineStr"/>
    </row>
  </sheetData>
  <mergeCells count="21">
    <mergeCell ref="C6:D6"/>
    <mergeCell ref="I6:J6"/>
    <mergeCell ref="C5:D5"/>
    <mergeCell ref="E5:F5"/>
    <mergeCell ref="A1:H1"/>
    <mergeCell ref="A6:B6"/>
    <mergeCell ref="A7:B7"/>
    <mergeCell ref="G7:H7"/>
    <mergeCell ref="A9:J9"/>
    <mergeCell ref="I7:J7"/>
    <mergeCell ref="G6:H6"/>
    <mergeCell ref="E6:F6"/>
    <mergeCell ref="A5:B5"/>
    <mergeCell ref="G5:H5"/>
    <mergeCell ref="I5:J5"/>
    <mergeCell ref="I1:J1"/>
    <mergeCell ref="C7:D7"/>
    <mergeCell ref="E7:F7"/>
    <mergeCell ref="A3:J3"/>
    <mergeCell ref="A28:B28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1" customWidth="1" min="3" max="3"/>
    <col width="12" customWidth="1" min="4" max="4"/>
    <col width="23" customWidth="1" min="5" max="5"/>
    <col width="12" customWidth="1" min="6" max="6"/>
    <col width="24" customWidth="1" min="7" max="7"/>
    <col width="13" customWidth="1" min="8" max="8"/>
    <col width="28" customWidth="1" min="9" max="9"/>
    <col width="32" customWidth="1" min="10" max="10"/>
  </cols>
  <sheetData>
    <row r="1" ht="24" customHeight="1">
      <c r="A1" s="1" t="inlineStr">
        <is>
          <t>PSY262: Applied Psychology of Mindfulness</t>
        </is>
      </c>
      <c r="I1" s="9">
        <f>HYPERLINK("#'Dashboard &amp; GPA'!A1", "⬅ Back to Dashboard")</f>
        <v/>
      </c>
      <c r="J1" s="9" t="n"/>
    </row>
    <row r="2" ht="18" customHeight="1">
      <c r="A2" s="2" t="inlineStr">
        <is>
          <t>Credits: 3.0  •  Classification: General Elective  •  Grade Scale: Seneca 4.0</t>
        </is>
      </c>
    </row>
    <row r="3" ht="20" customHeight="1">
      <c r="A3" s="41" t="inlineStr">
        <is>
          <t>📌 PASSING REQUIREMENTS: Achieve a grade of 50% or higher in the overall course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</row>
    <row r="4" ht="8" customHeight="1"/>
    <row r="5" ht="16" customHeight="1">
      <c r="A5" s="4" t="inlineStr">
        <is>
          <t>COMPLETED WEIGHT</t>
        </is>
      </c>
      <c r="B5" s="4" t="n"/>
      <c r="C5" s="4" t="inlineStr">
        <is>
          <t>WEIGHTED EARNED</t>
        </is>
      </c>
      <c r="D5" s="4" t="n"/>
      <c r="E5" s="4" t="inlineStr">
        <is>
          <t>CURRENT AVERAGE</t>
        </is>
      </c>
      <c r="F5" s="4" t="n"/>
      <c r="G5" s="4" t="inlineStr">
        <is>
          <t>PROJECTED FINAL</t>
        </is>
      </c>
      <c r="H5" s="4" t="n"/>
      <c r="I5" s="4" t="inlineStr">
        <is>
          <t>HURDLE COMPLIANCE</t>
        </is>
      </c>
      <c r="J5" s="4" t="n"/>
    </row>
    <row r="6" ht="26" customHeight="1">
      <c r="A6" s="6">
        <f>SUMIF(E11:E24, "&lt;&gt;", C11:C24)</f>
        <v/>
      </c>
      <c r="B6" s="6" t="n"/>
      <c r="C6" s="42">
        <f>SUM(G11:G24)</f>
        <v/>
      </c>
      <c r="D6" s="42" t="n"/>
      <c r="E6" s="6">
        <f>IF(A6&gt;0, C6/A6, "--")</f>
        <v/>
      </c>
      <c r="F6" s="6" t="n"/>
      <c r="G6" s="6">
        <f>IF(A6&gt;0, C6 + (1-A6)*E6, "--")</f>
        <v/>
      </c>
      <c r="H6" s="6" t="n"/>
      <c r="I6" s="43">
        <f>IF(SUMIF(E24:E24, "&lt;&gt;", C24:C24)&lt;=0, "PENDING", IF(SUM(G24:G24)/SUMIF(E24:E24, "&lt;&gt;", C24:C24)&gt;=0.5, "ON TRACK (PASSED)", "⚠️ WARNING: &lt;50%"))</f>
        <v/>
      </c>
      <c r="J6" s="43" t="n"/>
    </row>
    <row r="7" ht="16" customHeight="1">
      <c r="A7" s="8" t="inlineStr">
        <is>
          <t>of 100.0% Course Total</t>
        </is>
      </c>
      <c r="B7" s="8" t="n"/>
      <c r="C7" s="8" t="inlineStr">
        <is>
          <t>Points Accumulated</t>
        </is>
      </c>
      <c r="D7" s="8" t="n"/>
      <c r="E7" s="8" t="inlineStr">
        <is>
          <t>Based on graded work</t>
        </is>
      </c>
      <c r="F7" s="8" t="n"/>
      <c r="G7" s="8" t="inlineStr">
        <is>
          <t>Assuming current pace</t>
        </is>
      </c>
      <c r="H7" s="8" t="n"/>
      <c r="I7" s="8" t="inlineStr">
        <is>
          <t>Must score &gt;=50% on Tests</t>
        </is>
      </c>
      <c r="J7" s="8" t="n"/>
    </row>
    <row r="8" ht="8" customHeight="1"/>
    <row r="9" ht="20" customHeight="1">
      <c r="A9" s="3" t="inlineStr">
        <is>
          <t>💡 ENTER MARKS: Enter your points earned in the light blue 'Earned Pts' column (Col E). Scores, weighted points, and GPA recalculate automatically.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26" customHeight="1">
      <c r="A10" s="44" t="inlineStr">
        <is>
          <t>Category</t>
        </is>
      </c>
      <c r="B10" s="45" t="inlineStr">
        <is>
          <t>Assessment Deliverable</t>
        </is>
      </c>
      <c r="C10" s="46" t="inlineStr">
        <is>
          <t>Weight %</t>
        </is>
      </c>
      <c r="D10" s="46" t="inlineStr">
        <is>
          <t>Max Pts</t>
        </is>
      </c>
      <c r="E10" s="44" t="inlineStr">
        <is>
          <t>Earned Pts ✍️</t>
        </is>
      </c>
      <c r="F10" s="44" t="inlineStr">
        <is>
          <t>Score %</t>
        </is>
      </c>
      <c r="G10" s="44" t="inlineStr">
        <is>
          <t>Weighted Earned %</t>
        </is>
      </c>
      <c r="H10" s="44" t="inlineStr">
        <is>
          <t>Due Date</t>
        </is>
      </c>
      <c r="I10" s="44" t="inlineStr">
        <is>
          <t>Status</t>
        </is>
      </c>
      <c r="J10" s="45" t="inlineStr">
        <is>
          <t>Hurdle / Notes</t>
        </is>
      </c>
    </row>
    <row r="11" ht="20" customHeight="1">
      <c r="A11" s="47" t="inlineStr">
        <is>
          <t>In-Class Assignments</t>
        </is>
      </c>
      <c r="B11" s="12" t="inlineStr">
        <is>
          <t>Assignment 1</t>
        </is>
      </c>
      <c r="C11" s="15" t="n">
        <v>0.025</v>
      </c>
      <c r="D11" s="48" t="n">
        <v>100</v>
      </c>
      <c r="E11" s="49" t="n"/>
      <c r="F11" s="15">
        <f>IF(OR(ISBLANK(E11), E11=""), "", E11/D11)</f>
        <v/>
      </c>
      <c r="G11" s="50">
        <f>IF(OR(ISBLANK(E11), E11=""), "", F11*C11)</f>
        <v/>
      </c>
      <c r="H11" s="51" t="inlineStr">
        <is>
          <t>2026-9-18</t>
        </is>
      </c>
      <c r="I11" s="52" t="inlineStr">
        <is>
          <t>Not Started</t>
        </is>
      </c>
      <c r="J11" s="53" t="inlineStr"/>
    </row>
    <row r="12" ht="20" customHeight="1">
      <c r="A12" s="54" t="inlineStr">
        <is>
          <t>In-Class Assignments</t>
        </is>
      </c>
      <c r="B12" s="20" t="inlineStr">
        <is>
          <t>Assignment 2</t>
        </is>
      </c>
      <c r="C12" s="23" t="n">
        <v>0.025</v>
      </c>
      <c r="D12" s="55" t="n">
        <v>100</v>
      </c>
      <c r="E12" s="49" t="n"/>
      <c r="F12" s="23">
        <f>IF(OR(ISBLANK(E12), E12=""), "", E12/D12)</f>
        <v/>
      </c>
      <c r="G12" s="56">
        <f>IF(OR(ISBLANK(E12), E12=""), "", F12*C12)</f>
        <v/>
      </c>
      <c r="H12" s="57" t="inlineStr">
        <is>
          <t>2026-9-18</t>
        </is>
      </c>
      <c r="I12" s="52" t="inlineStr">
        <is>
          <t>Not Started</t>
        </is>
      </c>
      <c r="J12" s="58" t="inlineStr"/>
    </row>
    <row r="13" ht="20" customHeight="1">
      <c r="A13" s="47" t="inlineStr">
        <is>
          <t>In-Class Assignments</t>
        </is>
      </c>
      <c r="B13" s="12" t="inlineStr">
        <is>
          <t>Assignment 3</t>
        </is>
      </c>
      <c r="C13" s="15" t="n">
        <v>0.025</v>
      </c>
      <c r="D13" s="48" t="n">
        <v>100</v>
      </c>
      <c r="E13" s="49" t="n"/>
      <c r="F13" s="15">
        <f>IF(OR(ISBLANK(E13), E13=""), "", E13/D13)</f>
        <v/>
      </c>
      <c r="G13" s="50">
        <f>IF(OR(ISBLANK(E13), E13=""), "", F13*C13)</f>
        <v/>
      </c>
      <c r="H13" s="51" t="inlineStr">
        <is>
          <t>2026-9-25</t>
        </is>
      </c>
      <c r="I13" s="52" t="inlineStr">
        <is>
          <t>Not Started</t>
        </is>
      </c>
      <c r="J13" s="53" t="inlineStr"/>
    </row>
    <row r="14" ht="20" customHeight="1">
      <c r="A14" s="54" t="inlineStr">
        <is>
          <t>In-Class Assignments</t>
        </is>
      </c>
      <c r="B14" s="20" t="inlineStr">
        <is>
          <t>Assignment 4</t>
        </is>
      </c>
      <c r="C14" s="23" t="n">
        <v>0.025</v>
      </c>
      <c r="D14" s="55" t="n">
        <v>100</v>
      </c>
      <c r="E14" s="49" t="n"/>
      <c r="F14" s="23">
        <f>IF(OR(ISBLANK(E14), E14=""), "", E14/D14)</f>
        <v/>
      </c>
      <c r="G14" s="56">
        <f>IF(OR(ISBLANK(E14), E14=""), "", F14*C14)</f>
        <v/>
      </c>
      <c r="H14" s="57" t="inlineStr">
        <is>
          <t>2026-10-02</t>
        </is>
      </c>
      <c r="I14" s="52" t="inlineStr">
        <is>
          <t>Not Started</t>
        </is>
      </c>
      <c r="J14" s="58" t="inlineStr"/>
    </row>
    <row r="15" ht="20" customHeight="1">
      <c r="A15" s="47" t="inlineStr">
        <is>
          <t>In-Class Assignments</t>
        </is>
      </c>
      <c r="B15" s="12" t="inlineStr">
        <is>
          <t>Assignment 5</t>
        </is>
      </c>
      <c r="C15" s="15" t="n">
        <v>0.025</v>
      </c>
      <c r="D15" s="48" t="n">
        <v>100</v>
      </c>
      <c r="E15" s="49" t="n"/>
      <c r="F15" s="15">
        <f>IF(OR(ISBLANK(E15), E15=""), "", E15/D15)</f>
        <v/>
      </c>
      <c r="G15" s="50">
        <f>IF(OR(ISBLANK(E15), E15=""), "", F15*C15)</f>
        <v/>
      </c>
      <c r="H15" s="51" t="inlineStr">
        <is>
          <t>2026-10-09</t>
        </is>
      </c>
      <c r="I15" s="52" t="inlineStr">
        <is>
          <t>Not Started</t>
        </is>
      </c>
      <c r="J15" s="53" t="inlineStr"/>
    </row>
    <row r="16" ht="20" customHeight="1">
      <c r="A16" s="54" t="inlineStr">
        <is>
          <t>In-Class Assignments</t>
        </is>
      </c>
      <c r="B16" s="20" t="inlineStr">
        <is>
          <t>Assignment 6</t>
        </is>
      </c>
      <c r="C16" s="23" t="n">
        <v>0.025</v>
      </c>
      <c r="D16" s="55" t="n">
        <v>100</v>
      </c>
      <c r="E16" s="49" t="n"/>
      <c r="F16" s="23">
        <f>IF(OR(ISBLANK(E16), E16=""), "", E16/D16)</f>
        <v/>
      </c>
      <c r="G16" s="56">
        <f>IF(OR(ISBLANK(E16), E16=""), "", F16*C16)</f>
        <v/>
      </c>
      <c r="H16" s="57" t="inlineStr">
        <is>
          <t>2026-10-09</t>
        </is>
      </c>
      <c r="I16" s="52" t="inlineStr">
        <is>
          <t>Not Started</t>
        </is>
      </c>
      <c r="J16" s="58" t="inlineStr"/>
    </row>
    <row r="17" ht="20" customHeight="1">
      <c r="A17" s="47" t="inlineStr">
        <is>
          <t>In-Class Assignments</t>
        </is>
      </c>
      <c r="B17" s="12" t="inlineStr">
        <is>
          <t>Assignment 7</t>
        </is>
      </c>
      <c r="C17" s="15" t="n">
        <v>0.025</v>
      </c>
      <c r="D17" s="48" t="n">
        <v>100</v>
      </c>
      <c r="E17" s="49" t="n"/>
      <c r="F17" s="15">
        <f>IF(OR(ISBLANK(E17), E17=""), "", E17/D17)</f>
        <v/>
      </c>
      <c r="G17" s="50">
        <f>IF(OR(ISBLANK(E17), E17=""), "", F17*C17)</f>
        <v/>
      </c>
      <c r="H17" s="51" t="inlineStr">
        <is>
          <t>2026-10-16</t>
        </is>
      </c>
      <c r="I17" s="52" t="inlineStr">
        <is>
          <t>Not Started</t>
        </is>
      </c>
      <c r="J17" s="53" t="inlineStr"/>
    </row>
    <row r="18" ht="20" customHeight="1">
      <c r="A18" s="54" t="inlineStr">
        <is>
          <t>In-Class Assignments</t>
        </is>
      </c>
      <c r="B18" s="20" t="inlineStr">
        <is>
          <t>Assignment 8</t>
        </is>
      </c>
      <c r="C18" s="23" t="n">
        <v>0.025</v>
      </c>
      <c r="D18" s="55" t="n">
        <v>100</v>
      </c>
      <c r="E18" s="49" t="n"/>
      <c r="F18" s="23">
        <f>IF(OR(ISBLANK(E18), E18=""), "", E18/D18)</f>
        <v/>
      </c>
      <c r="G18" s="56">
        <f>IF(OR(ISBLANK(E18), E18=""), "", F18*C18)</f>
        <v/>
      </c>
      <c r="H18" s="57" t="inlineStr">
        <is>
          <t>2026-10-23</t>
        </is>
      </c>
      <c r="I18" s="52" t="inlineStr">
        <is>
          <t>Not Started</t>
        </is>
      </c>
      <c r="J18" s="58" t="inlineStr"/>
    </row>
    <row r="19" ht="20" customHeight="1">
      <c r="A19" s="47" t="inlineStr">
        <is>
          <t>In-Class Assignments</t>
        </is>
      </c>
      <c r="B19" s="12" t="inlineStr">
        <is>
          <t>Assignment 9</t>
        </is>
      </c>
      <c r="C19" s="15" t="n">
        <v>0.025</v>
      </c>
      <c r="D19" s="48" t="n">
        <v>100</v>
      </c>
      <c r="E19" s="49" t="n"/>
      <c r="F19" s="15">
        <f>IF(OR(ISBLANK(E19), E19=""), "", E19/D19)</f>
        <v/>
      </c>
      <c r="G19" s="50">
        <f>IF(OR(ISBLANK(E19), E19=""), "", F19*C19)</f>
        <v/>
      </c>
      <c r="H19" s="51" t="inlineStr">
        <is>
          <t>2026-10-23</t>
        </is>
      </c>
      <c r="I19" s="52" t="inlineStr">
        <is>
          <t>Not Started</t>
        </is>
      </c>
      <c r="J19" s="53" t="inlineStr"/>
    </row>
    <row r="20" ht="20" customHeight="1">
      <c r="A20" s="54" t="inlineStr">
        <is>
          <t>In-Class Assignments</t>
        </is>
      </c>
      <c r="B20" s="20" t="inlineStr">
        <is>
          <t>Assignment 10</t>
        </is>
      </c>
      <c r="C20" s="23" t="n">
        <v>0.025</v>
      </c>
      <c r="D20" s="55" t="n">
        <v>100</v>
      </c>
      <c r="E20" s="49" t="n"/>
      <c r="F20" s="23">
        <f>IF(OR(ISBLANK(E20), E20=""), "", E20/D20)</f>
        <v/>
      </c>
      <c r="G20" s="56">
        <f>IF(OR(ISBLANK(E20), E20=""), "", F20*C20)</f>
        <v/>
      </c>
      <c r="H20" s="57" t="inlineStr">
        <is>
          <t>2026-9-18</t>
        </is>
      </c>
      <c r="I20" s="52" t="inlineStr">
        <is>
          <t>Not Started</t>
        </is>
      </c>
      <c r="J20" s="58" t="inlineStr"/>
    </row>
    <row r="21" ht="20" customHeight="1">
      <c r="A21" s="47" t="inlineStr">
        <is>
          <t>Writing Assignment</t>
        </is>
      </c>
      <c r="B21" s="12" t="inlineStr">
        <is>
          <t>Writing Assignment</t>
        </is>
      </c>
      <c r="C21" s="15" t="n">
        <v>0.1</v>
      </c>
      <c r="D21" s="48" t="n">
        <v>100</v>
      </c>
      <c r="E21" s="49" t="n"/>
      <c r="F21" s="15">
        <f>IF(OR(ISBLANK(E21), E21=""), "", E21/D21)</f>
        <v/>
      </c>
      <c r="G21" s="50">
        <f>IF(OR(ISBLANK(E21), E21=""), "", F21*C21)</f>
        <v/>
      </c>
      <c r="H21" s="51" t="inlineStr">
        <is>
          <t>TBA</t>
        </is>
      </c>
      <c r="I21" s="52" t="inlineStr">
        <is>
          <t>Not Started</t>
        </is>
      </c>
      <c r="J21" s="53" t="inlineStr"/>
    </row>
    <row r="22" ht="20" customHeight="1">
      <c r="A22" s="54" t="inlineStr">
        <is>
          <t>Quiz 1</t>
        </is>
      </c>
      <c r="B22" s="20" t="inlineStr">
        <is>
          <t>Quiz 1</t>
        </is>
      </c>
      <c r="C22" s="23" t="n">
        <v>0.2</v>
      </c>
      <c r="D22" s="55" t="n">
        <v>100</v>
      </c>
      <c r="E22" s="49" t="n"/>
      <c r="F22" s="23">
        <f>IF(OR(ISBLANK(E22), E22=""), "", E22/D22)</f>
        <v/>
      </c>
      <c r="G22" s="56">
        <f>IF(OR(ISBLANK(E22), E22=""), "", F22*C22)</f>
        <v/>
      </c>
      <c r="H22" s="57" t="inlineStr">
        <is>
          <t>2026-10-02</t>
        </is>
      </c>
      <c r="I22" s="52" t="inlineStr">
        <is>
          <t>Not Started</t>
        </is>
      </c>
      <c r="J22" s="58" t="inlineStr"/>
    </row>
    <row r="23" ht="20" customHeight="1">
      <c r="A23" s="47" t="inlineStr">
        <is>
          <t>Quiz 2</t>
        </is>
      </c>
      <c r="B23" s="12" t="inlineStr">
        <is>
          <t>Quiz 2</t>
        </is>
      </c>
      <c r="C23" s="15" t="n">
        <v>0.2</v>
      </c>
      <c r="D23" s="48" t="n">
        <v>100</v>
      </c>
      <c r="E23" s="49" t="n"/>
      <c r="F23" s="15">
        <f>IF(OR(ISBLANK(E23), E23=""), "", E23/D23)</f>
        <v/>
      </c>
      <c r="G23" s="50">
        <f>IF(OR(ISBLANK(E23), E23=""), "", F23*C23)</f>
        <v/>
      </c>
      <c r="H23" s="51" t="inlineStr">
        <is>
          <t>2026-11-06</t>
        </is>
      </c>
      <c r="I23" s="52" t="inlineStr">
        <is>
          <t>Not Started</t>
        </is>
      </c>
      <c r="J23" s="53" t="inlineStr"/>
    </row>
    <row r="24" ht="20" customHeight="1">
      <c r="A24" s="54" t="inlineStr">
        <is>
          <t>Final Exam</t>
        </is>
      </c>
      <c r="B24" s="20" t="inlineStr">
        <is>
          <t>Final Exam</t>
        </is>
      </c>
      <c r="C24" s="23" t="n">
        <v>0.25</v>
      </c>
      <c r="D24" s="55" t="n">
        <v>100</v>
      </c>
      <c r="E24" s="49" t="n"/>
      <c r="F24" s="23">
        <f>IF(OR(ISBLANK(E24), E24=""), "", E24/D24)</f>
        <v/>
      </c>
      <c r="G24" s="56">
        <f>IF(OR(ISBLANK(E24), E24=""), "", F24*C24)</f>
        <v/>
      </c>
      <c r="H24" s="57" t="inlineStr">
        <is>
          <t>2026-12-11</t>
        </is>
      </c>
      <c r="I24" s="52" t="inlineStr">
        <is>
          <t>Not Started</t>
        </is>
      </c>
      <c r="J24" s="60" t="inlineStr">
        <is>
          <t>Mandatory Test Hurdle (&gt;=50%)</t>
        </is>
      </c>
    </row>
    <row r="25" ht="22" customHeight="1">
      <c r="A25" s="27" t="inlineStr">
        <is>
          <t>COURSE TOTAL &amp; WEIGHTS</t>
        </is>
      </c>
      <c r="B25" s="27" t="n"/>
      <c r="C25" s="30">
        <f>SUM(C11:C24)</f>
        <v/>
      </c>
      <c r="D25" s="27">
        <f>SUM(D11:D24)</f>
        <v/>
      </c>
      <c r="E25" s="27">
        <f>SUM(E11:E24)</f>
        <v/>
      </c>
      <c r="F25" s="31" t="inlineStr">
        <is>
          <t>--</t>
        </is>
      </c>
      <c r="G25" s="61">
        <f>SUM(G11:G24)</f>
        <v/>
      </c>
      <c r="H25" s="62" t="inlineStr"/>
      <c r="I25" s="62" t="inlineStr"/>
      <c r="J25" s="62" t="inlineStr"/>
    </row>
  </sheetData>
  <mergeCells count="21">
    <mergeCell ref="C6:D6"/>
    <mergeCell ref="I6:J6"/>
    <mergeCell ref="C5:D5"/>
    <mergeCell ref="E5:F5"/>
    <mergeCell ref="A1:H1"/>
    <mergeCell ref="A6:B6"/>
    <mergeCell ref="A7:B7"/>
    <mergeCell ref="A25:B25"/>
    <mergeCell ref="G7:H7"/>
    <mergeCell ref="A9:J9"/>
    <mergeCell ref="I7:J7"/>
    <mergeCell ref="G6:H6"/>
    <mergeCell ref="E6:F6"/>
    <mergeCell ref="A5:B5"/>
    <mergeCell ref="G5:H5"/>
    <mergeCell ref="I5:J5"/>
    <mergeCell ref="I1:J1"/>
    <mergeCell ref="C7:D7"/>
    <mergeCell ref="E7:F7"/>
    <mergeCell ref="A3:J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1" customWidth="1" min="3" max="3"/>
    <col width="12" customWidth="1" min="4" max="4"/>
    <col width="23" customWidth="1" min="5" max="5"/>
    <col width="12" customWidth="1" min="6" max="6"/>
    <col width="24" customWidth="1" min="7" max="7"/>
    <col width="13" customWidth="1" min="8" max="8"/>
    <col width="28" customWidth="1" min="9" max="9"/>
    <col width="32" customWidth="1" min="10" max="10"/>
  </cols>
  <sheetData>
    <row r="1" ht="24" customHeight="1">
      <c r="A1" s="1" t="inlineStr">
        <is>
          <t>SEC320: Incident Response and Computer Forensics</t>
        </is>
      </c>
      <c r="I1" s="9">
        <f>HYPERLINK("#'Dashboard &amp; GPA'!A1", "⬅ Back to Dashboard")</f>
        <v/>
      </c>
      <c r="J1" s="9" t="n"/>
    </row>
    <row r="2" ht="18" customHeight="1">
      <c r="A2" s="2" t="inlineStr">
        <is>
          <t>Credits: 3.0  •  Classification: Technical Computing Core  •  Grade Scale: Seneca 4.0</t>
        </is>
      </c>
    </row>
    <row r="3" ht="20" customHeight="1">
      <c r="A3" s="41" t="inlineStr">
        <is>
          <t>📌 PASSING REQUIREMENTS: Achieve a grade of 50% or higher in the overall course  •  Achieve a weighted average of 50% or higher on all tests  •  Achieve a weighted average of 50% or higher on all labs  •  Satisfactorily complete all labs and assignments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</row>
    <row r="4" ht="8" customHeight="1"/>
    <row r="5" ht="16" customHeight="1">
      <c r="A5" s="4" t="inlineStr">
        <is>
          <t>COMPLETED WEIGHT</t>
        </is>
      </c>
      <c r="B5" s="4" t="n"/>
      <c r="C5" s="4" t="inlineStr">
        <is>
          <t>WEIGHTED EARNED</t>
        </is>
      </c>
      <c r="D5" s="4" t="n"/>
      <c r="E5" s="4" t="inlineStr">
        <is>
          <t>CURRENT AVERAGE</t>
        </is>
      </c>
      <c r="F5" s="4" t="n"/>
      <c r="G5" s="4" t="inlineStr">
        <is>
          <t>PROJECTED FINAL</t>
        </is>
      </c>
      <c r="H5" s="4" t="n"/>
      <c r="I5" s="4" t="inlineStr">
        <is>
          <t>HURDLE COMPLIANCE</t>
        </is>
      </c>
      <c r="J5" s="4" t="n"/>
    </row>
    <row r="6" ht="26" customHeight="1">
      <c r="A6" s="6">
        <f>SUMIF(E11:E25, "&lt;&gt;", C11:C25)</f>
        <v/>
      </c>
      <c r="B6" s="6" t="n"/>
      <c r="C6" s="42">
        <f>SUM(G11:G25)</f>
        <v/>
      </c>
      <c r="D6" s="42" t="n"/>
      <c r="E6" s="6">
        <f>IF(A6&gt;0, C6/A6, "--")</f>
        <v/>
      </c>
      <c r="F6" s="6" t="n"/>
      <c r="G6" s="6">
        <f>IF(A6&gt;0, C6 + (1-A6)*E6, "--")</f>
        <v/>
      </c>
      <c r="H6" s="6" t="n"/>
      <c r="I6" s="43">
        <f>IF(SUMIF(E11:E25, "&lt;&gt;", C11:C25)&lt;=0, "PENDING", IF(SUM(G11:G25)/SUMIF(E11:E25, "&lt;&gt;", C11:C25)&gt;=0.5, "ON TRACK (PASSED)", "⚠️ WARNING: &lt;50%"))</f>
        <v/>
      </c>
      <c r="J6" s="43" t="n"/>
    </row>
    <row r="7" ht="16" customHeight="1">
      <c r="A7" s="8" t="inlineStr">
        <is>
          <t>of 100.0% Course Total</t>
        </is>
      </c>
      <c r="B7" s="8" t="n"/>
      <c r="C7" s="8" t="inlineStr">
        <is>
          <t>Points Accumulated</t>
        </is>
      </c>
      <c r="D7" s="8" t="n"/>
      <c r="E7" s="8" t="inlineStr">
        <is>
          <t>Based on graded work</t>
        </is>
      </c>
      <c r="F7" s="8" t="n"/>
      <c r="G7" s="8" t="inlineStr">
        <is>
          <t>Assuming current pace</t>
        </is>
      </c>
      <c r="H7" s="8" t="n"/>
      <c r="I7" s="8" t="inlineStr">
        <is>
          <t>Must score &gt;=50% on Tests</t>
        </is>
      </c>
      <c r="J7" s="8" t="n"/>
    </row>
    <row r="8" ht="8" customHeight="1"/>
    <row r="9" ht="20" customHeight="1">
      <c r="A9" s="3" t="inlineStr">
        <is>
          <t>💡 ENTER MARKS: Enter your points earned in the light blue 'Earned Pts' column (Col E). Scores, weighted points, and GPA recalculate automatically.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26" customHeight="1">
      <c r="A10" s="44" t="inlineStr">
        <is>
          <t>Category</t>
        </is>
      </c>
      <c r="B10" s="45" t="inlineStr">
        <is>
          <t>Assessment Deliverable</t>
        </is>
      </c>
      <c r="C10" s="46" t="inlineStr">
        <is>
          <t>Weight %</t>
        </is>
      </c>
      <c r="D10" s="46" t="inlineStr">
        <is>
          <t>Max Pts</t>
        </is>
      </c>
      <c r="E10" s="44" t="inlineStr">
        <is>
          <t>Earned Pts ✍️</t>
        </is>
      </c>
      <c r="F10" s="44" t="inlineStr">
        <is>
          <t>Score %</t>
        </is>
      </c>
      <c r="G10" s="44" t="inlineStr">
        <is>
          <t>Weighted Earned %</t>
        </is>
      </c>
      <c r="H10" s="44" t="inlineStr">
        <is>
          <t>Due Date</t>
        </is>
      </c>
      <c r="I10" s="44" t="inlineStr">
        <is>
          <t>Status</t>
        </is>
      </c>
      <c r="J10" s="45" t="inlineStr">
        <is>
          <t>Hurdle / Notes</t>
        </is>
      </c>
    </row>
    <row r="11" ht="20" customHeight="1">
      <c r="A11" s="47" t="inlineStr">
        <is>
          <t>Practical Tests</t>
        </is>
      </c>
      <c r="B11" s="12" t="inlineStr">
        <is>
          <t>Practical Test 1</t>
        </is>
      </c>
      <c r="C11" s="15" t="n">
        <v>0.15</v>
      </c>
      <c r="D11" s="48" t="n">
        <v>100</v>
      </c>
      <c r="E11" s="49" t="n"/>
      <c r="F11" s="15">
        <f>IF(OR(ISBLANK(E11), E11=""), "", E11/D11)</f>
        <v/>
      </c>
      <c r="G11" s="50">
        <f>IF(OR(ISBLANK(E11), E11=""), "", F11*C11)</f>
        <v/>
      </c>
      <c r="H11" s="51" t="inlineStr">
        <is>
          <t>TBA</t>
        </is>
      </c>
      <c r="I11" s="52" t="inlineStr">
        <is>
          <t>Not Started</t>
        </is>
      </c>
      <c r="J11" s="59" t="inlineStr">
        <is>
          <t>Mandatory Test Hurdle (&gt;=50%)</t>
        </is>
      </c>
    </row>
    <row r="12" ht="20" customHeight="1">
      <c r="A12" s="54" t="inlineStr">
        <is>
          <t>Practical Tests</t>
        </is>
      </c>
      <c r="B12" s="20" t="inlineStr">
        <is>
          <t>Practical Test 2</t>
        </is>
      </c>
      <c r="C12" s="23" t="n">
        <v>0.15</v>
      </c>
      <c r="D12" s="55" t="n">
        <v>100</v>
      </c>
      <c r="E12" s="49" t="n"/>
      <c r="F12" s="23">
        <f>IF(OR(ISBLANK(E12), E12=""), "", E12/D12)</f>
        <v/>
      </c>
      <c r="G12" s="56">
        <f>IF(OR(ISBLANK(E12), E12=""), "", F12*C12)</f>
        <v/>
      </c>
      <c r="H12" s="57" t="inlineStr">
        <is>
          <t>TBA</t>
        </is>
      </c>
      <c r="I12" s="52" t="inlineStr">
        <is>
          <t>Not Started</t>
        </is>
      </c>
      <c r="J12" s="60" t="inlineStr">
        <is>
          <t>Mandatory Test Hurdle (&gt;=50%)</t>
        </is>
      </c>
    </row>
    <row r="13" ht="20" customHeight="1">
      <c r="A13" s="47" t="inlineStr">
        <is>
          <t>Labs</t>
        </is>
      </c>
      <c r="B13" s="12" t="inlineStr">
        <is>
          <t>Lab 1</t>
        </is>
      </c>
      <c r="C13" s="15" t="n">
        <v>0.04</v>
      </c>
      <c r="D13" s="48" t="n">
        <v>100</v>
      </c>
      <c r="E13" s="49" t="n"/>
      <c r="F13" s="15">
        <f>IF(OR(ISBLANK(E13), E13=""), "", E13/D13)</f>
        <v/>
      </c>
      <c r="G13" s="50">
        <f>IF(OR(ISBLANK(E13), E13=""), "", F13*C13)</f>
        <v/>
      </c>
      <c r="H13" s="51" t="inlineStr">
        <is>
          <t>2026-9-18</t>
        </is>
      </c>
      <c r="I13" s="52" t="inlineStr">
        <is>
          <t>Not Started</t>
        </is>
      </c>
      <c r="J13" s="53" t="inlineStr"/>
    </row>
    <row r="14" ht="20" customHeight="1">
      <c r="A14" s="54" t="inlineStr">
        <is>
          <t>Labs</t>
        </is>
      </c>
      <c r="B14" s="20" t="inlineStr">
        <is>
          <t>Lab 2</t>
        </is>
      </c>
      <c r="C14" s="23" t="n">
        <v>0.04</v>
      </c>
      <c r="D14" s="55" t="n">
        <v>100</v>
      </c>
      <c r="E14" s="49" t="n"/>
      <c r="F14" s="23">
        <f>IF(OR(ISBLANK(E14), E14=""), "", E14/D14)</f>
        <v/>
      </c>
      <c r="G14" s="56">
        <f>IF(OR(ISBLANK(E14), E14=""), "", F14*C14)</f>
        <v/>
      </c>
      <c r="H14" s="57" t="inlineStr">
        <is>
          <t>2026-9-25</t>
        </is>
      </c>
      <c r="I14" s="52" t="inlineStr">
        <is>
          <t>Not Started</t>
        </is>
      </c>
      <c r="J14" s="58" t="inlineStr"/>
    </row>
    <row r="15" ht="20" customHeight="1">
      <c r="A15" s="47" t="inlineStr">
        <is>
          <t>Labs</t>
        </is>
      </c>
      <c r="B15" s="12" t="inlineStr">
        <is>
          <t>Lab 3</t>
        </is>
      </c>
      <c r="C15" s="15" t="n">
        <v>0.04</v>
      </c>
      <c r="D15" s="48" t="n">
        <v>100</v>
      </c>
      <c r="E15" s="49" t="n"/>
      <c r="F15" s="15">
        <f>IF(OR(ISBLANK(E15), E15=""), "", E15/D15)</f>
        <v/>
      </c>
      <c r="G15" s="50">
        <f>IF(OR(ISBLANK(E15), E15=""), "", F15*C15)</f>
        <v/>
      </c>
      <c r="H15" s="51" t="inlineStr">
        <is>
          <t>2026-10-2</t>
        </is>
      </c>
      <c r="I15" s="52" t="inlineStr">
        <is>
          <t>Not Started</t>
        </is>
      </c>
      <c r="J15" s="53" t="inlineStr"/>
    </row>
    <row r="16" ht="20" customHeight="1">
      <c r="A16" s="54" t="inlineStr">
        <is>
          <t>Labs</t>
        </is>
      </c>
      <c r="B16" s="20" t="inlineStr">
        <is>
          <t>Lab 4</t>
        </is>
      </c>
      <c r="C16" s="23" t="n">
        <v>0.04</v>
      </c>
      <c r="D16" s="55" t="n">
        <v>100</v>
      </c>
      <c r="E16" s="49" t="n"/>
      <c r="F16" s="23">
        <f>IF(OR(ISBLANK(E16), E16=""), "", E16/D16)</f>
        <v/>
      </c>
      <c r="G16" s="56">
        <f>IF(OR(ISBLANK(E16), E16=""), "", F16*C16)</f>
        <v/>
      </c>
      <c r="H16" s="57" t="inlineStr">
        <is>
          <t>2026-10-09</t>
        </is>
      </c>
      <c r="I16" s="52" t="inlineStr">
        <is>
          <t>Not Started</t>
        </is>
      </c>
      <c r="J16" s="58" t="inlineStr"/>
    </row>
    <row r="17" ht="20" customHeight="1">
      <c r="A17" s="47" t="inlineStr">
        <is>
          <t>Labs</t>
        </is>
      </c>
      <c r="B17" s="12" t="inlineStr">
        <is>
          <t>Lab 5</t>
        </is>
      </c>
      <c r="C17" s="15" t="n">
        <v>0.04</v>
      </c>
      <c r="D17" s="48" t="n">
        <v>100</v>
      </c>
      <c r="E17" s="49" t="n"/>
      <c r="F17" s="15">
        <f>IF(OR(ISBLANK(E17), E17=""), "", E17/D17)</f>
        <v/>
      </c>
      <c r="G17" s="50">
        <f>IF(OR(ISBLANK(E17), E17=""), "", F17*C17)</f>
        <v/>
      </c>
      <c r="H17" s="51" t="inlineStr">
        <is>
          <t>2026-10-16</t>
        </is>
      </c>
      <c r="I17" s="52" t="inlineStr">
        <is>
          <t>Not Started</t>
        </is>
      </c>
      <c r="J17" s="53" t="inlineStr"/>
    </row>
    <row r="18" ht="20" customHeight="1">
      <c r="A18" s="54" t="inlineStr">
        <is>
          <t>Labs</t>
        </is>
      </c>
      <c r="B18" s="20" t="inlineStr">
        <is>
          <t>Lab 6</t>
        </is>
      </c>
      <c r="C18" s="23" t="n">
        <v>0.04</v>
      </c>
      <c r="D18" s="55" t="n">
        <v>100</v>
      </c>
      <c r="E18" s="49" t="n"/>
      <c r="F18" s="23">
        <f>IF(OR(ISBLANK(E18), E18=""), "", E18/D18)</f>
        <v/>
      </c>
      <c r="G18" s="56">
        <f>IF(OR(ISBLANK(E18), E18=""), "", F18*C18)</f>
        <v/>
      </c>
      <c r="H18" s="57" t="inlineStr">
        <is>
          <t>2026-11-06</t>
        </is>
      </c>
      <c r="I18" s="52" t="inlineStr">
        <is>
          <t>Not Started</t>
        </is>
      </c>
      <c r="J18" s="58" t="inlineStr"/>
    </row>
    <row r="19" ht="20" customHeight="1">
      <c r="A19" s="47" t="inlineStr">
        <is>
          <t>Labs</t>
        </is>
      </c>
      <c r="B19" s="12" t="inlineStr">
        <is>
          <t>Lab 7</t>
        </is>
      </c>
      <c r="C19" s="15" t="n">
        <v>0.04</v>
      </c>
      <c r="D19" s="48" t="n">
        <v>100</v>
      </c>
      <c r="E19" s="49" t="n"/>
      <c r="F19" s="15">
        <f>IF(OR(ISBLANK(E19), E19=""), "", E19/D19)</f>
        <v/>
      </c>
      <c r="G19" s="50">
        <f>IF(OR(ISBLANK(E19), E19=""), "", F19*C19)</f>
        <v/>
      </c>
      <c r="H19" s="51" t="inlineStr">
        <is>
          <t>2026-11-13</t>
        </is>
      </c>
      <c r="I19" s="52" t="inlineStr">
        <is>
          <t>Not Started</t>
        </is>
      </c>
      <c r="J19" s="53" t="inlineStr"/>
    </row>
    <row r="20" ht="20" customHeight="1">
      <c r="A20" s="54" t="inlineStr">
        <is>
          <t>Labs</t>
        </is>
      </c>
      <c r="B20" s="20" t="inlineStr">
        <is>
          <t>Lab 8</t>
        </is>
      </c>
      <c r="C20" s="23" t="n">
        <v>0.04</v>
      </c>
      <c r="D20" s="55" t="n">
        <v>100</v>
      </c>
      <c r="E20" s="49" t="n"/>
      <c r="F20" s="23">
        <f>IF(OR(ISBLANK(E20), E20=""), "", E20/D20)</f>
        <v/>
      </c>
      <c r="G20" s="56">
        <f>IF(OR(ISBLANK(E20), E20=""), "", F20*C20)</f>
        <v/>
      </c>
      <c r="H20" s="57" t="inlineStr">
        <is>
          <t>2026-11-20</t>
        </is>
      </c>
      <c r="I20" s="52" t="inlineStr">
        <is>
          <t>Not Started</t>
        </is>
      </c>
      <c r="J20" s="58" t="inlineStr"/>
    </row>
    <row r="21" ht="20" customHeight="1">
      <c r="A21" s="47" t="inlineStr">
        <is>
          <t>Labs</t>
        </is>
      </c>
      <c r="B21" s="12" t="inlineStr">
        <is>
          <t>Lab 9</t>
        </is>
      </c>
      <c r="C21" s="15" t="n">
        <v>0.04</v>
      </c>
      <c r="D21" s="48" t="n">
        <v>100</v>
      </c>
      <c r="E21" s="49" t="n"/>
      <c r="F21" s="15">
        <f>IF(OR(ISBLANK(E21), E21=""), "", E21/D21)</f>
        <v/>
      </c>
      <c r="G21" s="50">
        <f>IF(OR(ISBLANK(E21), E21=""), "", F21*C21)</f>
        <v/>
      </c>
      <c r="H21" s="51" t="inlineStr">
        <is>
          <t>2026-11-27</t>
        </is>
      </c>
      <c r="I21" s="52" t="inlineStr">
        <is>
          <t>Not Started</t>
        </is>
      </c>
      <c r="J21" s="53" t="inlineStr"/>
    </row>
    <row r="22" ht="20" customHeight="1">
      <c r="A22" s="54" t="inlineStr">
        <is>
          <t>Labs</t>
        </is>
      </c>
      <c r="B22" s="20" t="inlineStr">
        <is>
          <t>Lab 10</t>
        </is>
      </c>
      <c r="C22" s="23" t="n">
        <v>0.04</v>
      </c>
      <c r="D22" s="55" t="n">
        <v>100</v>
      </c>
      <c r="E22" s="49" t="n"/>
      <c r="F22" s="23">
        <f>IF(OR(ISBLANK(E22), E22=""), "", E22/D22)</f>
        <v/>
      </c>
      <c r="G22" s="56">
        <f>IF(OR(ISBLANK(E22), E22=""), "", F22*C22)</f>
        <v/>
      </c>
      <c r="H22" s="57" t="inlineStr">
        <is>
          <t>2026-9-18</t>
        </is>
      </c>
      <c r="I22" s="52" t="inlineStr">
        <is>
          <t>Not Started</t>
        </is>
      </c>
      <c r="J22" s="58" t="inlineStr"/>
    </row>
    <row r="23" ht="20" customHeight="1">
      <c r="A23" s="47" t="inlineStr">
        <is>
          <t>Final Project</t>
        </is>
      </c>
      <c r="B23" s="12" t="inlineStr">
        <is>
          <t>Project Proposal</t>
        </is>
      </c>
      <c r="C23" s="15" t="n">
        <v>0.05</v>
      </c>
      <c r="D23" s="48" t="n">
        <v>100</v>
      </c>
      <c r="E23" s="49" t="n"/>
      <c r="F23" s="15">
        <f>IF(OR(ISBLANK(E23), E23=""), "", E23/D23)</f>
        <v/>
      </c>
      <c r="G23" s="50">
        <f>IF(OR(ISBLANK(E23), E23=""), "", F23*C23)</f>
        <v/>
      </c>
      <c r="H23" s="51" t="inlineStr">
        <is>
          <t>2026-10-23</t>
        </is>
      </c>
      <c r="I23" s="52" t="inlineStr">
        <is>
          <t>Not Started</t>
        </is>
      </c>
      <c r="J23" s="59" t="inlineStr">
        <is>
          <t>Mandatory Test Hurdle (&gt;=50%)</t>
        </is>
      </c>
    </row>
    <row r="24" ht="20" customHeight="1">
      <c r="A24" s="54" t="inlineStr">
        <is>
          <t>Final Project</t>
        </is>
      </c>
      <c r="B24" s="20" t="inlineStr">
        <is>
          <t>Project Presentation</t>
        </is>
      </c>
      <c r="C24" s="23" t="n">
        <v>0.1</v>
      </c>
      <c r="D24" s="55" t="n">
        <v>100</v>
      </c>
      <c r="E24" s="49" t="n"/>
      <c r="F24" s="23">
        <f>IF(OR(ISBLANK(E24), E24=""), "", E24/D24)</f>
        <v/>
      </c>
      <c r="G24" s="56">
        <f>IF(OR(ISBLANK(E24), E24=""), "", F24*C24)</f>
        <v/>
      </c>
      <c r="H24" s="57" t="inlineStr">
        <is>
          <t>2026-11-30</t>
        </is>
      </c>
      <c r="I24" s="52" t="inlineStr">
        <is>
          <t>Not Started</t>
        </is>
      </c>
      <c r="J24" s="60" t="inlineStr">
        <is>
          <t>Mandatory Test Hurdle (&gt;=50%)</t>
        </is>
      </c>
    </row>
    <row r="25" ht="20" customHeight="1">
      <c r="A25" s="47" t="inlineStr">
        <is>
          <t>Final Project</t>
        </is>
      </c>
      <c r="B25" s="12" t="inlineStr">
        <is>
          <t>Final Report</t>
        </is>
      </c>
      <c r="C25" s="15" t="n">
        <v>0.15</v>
      </c>
      <c r="D25" s="48" t="n">
        <v>100</v>
      </c>
      <c r="E25" s="49" t="n"/>
      <c r="F25" s="15">
        <f>IF(OR(ISBLANK(E25), E25=""), "", E25/D25)</f>
        <v/>
      </c>
      <c r="G25" s="50">
        <f>IF(OR(ISBLANK(E25), E25=""), "", F25*C25)</f>
        <v/>
      </c>
      <c r="H25" s="51" t="inlineStr">
        <is>
          <t>TBA</t>
        </is>
      </c>
      <c r="I25" s="52" t="inlineStr">
        <is>
          <t>Not Started</t>
        </is>
      </c>
      <c r="J25" s="59" t="inlineStr">
        <is>
          <t>Mandatory Test Hurdle (&gt;=50%)</t>
        </is>
      </c>
    </row>
    <row r="26" ht="22" customHeight="1">
      <c r="A26" s="27" t="inlineStr">
        <is>
          <t>COURSE TOTAL &amp; WEIGHTS</t>
        </is>
      </c>
      <c r="B26" s="27" t="n"/>
      <c r="C26" s="30">
        <f>SUM(C11:C25)</f>
        <v/>
      </c>
      <c r="D26" s="27">
        <f>SUM(D11:D25)</f>
        <v/>
      </c>
      <c r="E26" s="27">
        <f>SUM(E11:E25)</f>
        <v/>
      </c>
      <c r="F26" s="31" t="inlineStr">
        <is>
          <t>--</t>
        </is>
      </c>
      <c r="G26" s="61">
        <f>SUM(G11:G25)</f>
        <v/>
      </c>
      <c r="H26" s="62" t="inlineStr"/>
      <c r="I26" s="62" t="inlineStr"/>
      <c r="J26" s="62" t="inlineStr"/>
    </row>
  </sheetData>
  <mergeCells count="21">
    <mergeCell ref="C6:D6"/>
    <mergeCell ref="I6:J6"/>
    <mergeCell ref="C5:D5"/>
    <mergeCell ref="E5:F5"/>
    <mergeCell ref="A1:H1"/>
    <mergeCell ref="A6:B6"/>
    <mergeCell ref="A7:B7"/>
    <mergeCell ref="G7:H7"/>
    <mergeCell ref="A9:J9"/>
    <mergeCell ref="I7:J7"/>
    <mergeCell ref="G6:H6"/>
    <mergeCell ref="A26:B26"/>
    <mergeCell ref="E6:F6"/>
    <mergeCell ref="A5:B5"/>
    <mergeCell ref="G5:H5"/>
    <mergeCell ref="I5:J5"/>
    <mergeCell ref="I1:J1"/>
    <mergeCell ref="C7:D7"/>
    <mergeCell ref="E7:F7"/>
    <mergeCell ref="A3:J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1" customWidth="1" min="3" max="3"/>
    <col width="12" customWidth="1" min="4" max="4"/>
    <col width="23" customWidth="1" min="5" max="5"/>
    <col width="12" customWidth="1" min="6" max="6"/>
    <col width="24" customWidth="1" min="7" max="7"/>
    <col width="13" customWidth="1" min="8" max="8"/>
    <col width="28" customWidth="1" min="9" max="9"/>
    <col width="32" customWidth="1" min="10" max="10"/>
  </cols>
  <sheetData>
    <row r="1" ht="24" customHeight="1">
      <c r="A1" s="1" t="inlineStr">
        <is>
          <t>OPS345: Open System Application Server</t>
        </is>
      </c>
      <c r="I1" s="9">
        <f>HYPERLINK("#'Dashboard &amp; GPA'!A1", "⬅ Back to Dashboard")</f>
        <v/>
      </c>
      <c r="J1" s="9" t="n"/>
    </row>
    <row r="2" ht="18" customHeight="1">
      <c r="A2" s="2" t="inlineStr">
        <is>
          <t>Credits: 3.0  •  Classification: Technical Computing Core  •  Grade Scale: Seneca 4.0</t>
        </is>
      </c>
    </row>
    <row r="3" ht="20" customHeight="1">
      <c r="A3" s="41" t="inlineStr">
        <is>
          <t>📌 PASSING REQUIREMENTS: Achieve a grade of 50% or higher in the overall course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</row>
    <row r="4" ht="8" customHeight="1"/>
    <row r="5" ht="16" customHeight="1">
      <c r="A5" s="4" t="inlineStr">
        <is>
          <t>COMPLETED WEIGHT</t>
        </is>
      </c>
      <c r="B5" s="4" t="n"/>
      <c r="C5" s="4" t="inlineStr">
        <is>
          <t>WEIGHTED EARNED</t>
        </is>
      </c>
      <c r="D5" s="4" t="n"/>
      <c r="E5" s="4" t="inlineStr">
        <is>
          <t>CURRENT AVERAGE</t>
        </is>
      </c>
      <c r="F5" s="4" t="n"/>
      <c r="G5" s="4" t="inlineStr">
        <is>
          <t>PROJECTED FINAL</t>
        </is>
      </c>
      <c r="H5" s="4" t="n"/>
      <c r="I5" s="4" t="inlineStr">
        <is>
          <t>HURDLE COMPLIANCE</t>
        </is>
      </c>
      <c r="J5" s="4" t="n"/>
    </row>
    <row r="6" ht="26" customHeight="1">
      <c r="A6" s="6">
        <f>SUMIF(E11:E26, "&lt;&gt;", C11:C26)</f>
        <v/>
      </c>
      <c r="B6" s="6" t="n"/>
      <c r="C6" s="42">
        <f>SUM(G11:G26)</f>
        <v/>
      </c>
      <c r="D6" s="42" t="n"/>
      <c r="E6" s="6">
        <f>IF(A6&gt;0, C6/A6, "--")</f>
        <v/>
      </c>
      <c r="F6" s="6" t="n"/>
      <c r="G6" s="6">
        <f>IF(A6&gt;0, C6 + (1-A6)*E6, "--")</f>
        <v/>
      </c>
      <c r="H6" s="6" t="n"/>
      <c r="I6" s="43">
        <f>IF(SUMIF(E25:E26, "&lt;&gt;", C25:C26)&lt;=0, "PENDING", IF(SUM(G25:G26)/SUMIF(E25:E26, "&lt;&gt;", C25:C26)&gt;=0.5, "ON TRACK (PASSED)", "⚠️ WARNING: &lt;50%"))</f>
        <v/>
      </c>
      <c r="J6" s="43" t="n"/>
    </row>
    <row r="7" ht="16" customHeight="1">
      <c r="A7" s="8" t="inlineStr">
        <is>
          <t>of 100.0% Course Total</t>
        </is>
      </c>
      <c r="B7" s="8" t="n"/>
      <c r="C7" s="8" t="inlineStr">
        <is>
          <t>Points Accumulated</t>
        </is>
      </c>
      <c r="D7" s="8" t="n"/>
      <c r="E7" s="8" t="inlineStr">
        <is>
          <t>Based on graded work</t>
        </is>
      </c>
      <c r="F7" s="8" t="n"/>
      <c r="G7" s="8" t="inlineStr">
        <is>
          <t>Assuming current pace</t>
        </is>
      </c>
      <c r="H7" s="8" t="n"/>
      <c r="I7" s="8" t="inlineStr">
        <is>
          <t>Must score &gt;=50% on Tests</t>
        </is>
      </c>
      <c r="J7" s="8" t="n"/>
    </row>
    <row r="8" ht="8" customHeight="1"/>
    <row r="9" ht="20" customHeight="1">
      <c r="A9" s="3" t="inlineStr">
        <is>
          <t>💡 ENTER MARKS: Enter your points earned in the light blue 'Earned Pts' column (Col E). Scores, weighted points, and GPA recalculate automatically.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26" customHeight="1">
      <c r="A10" s="44" t="inlineStr">
        <is>
          <t>Category</t>
        </is>
      </c>
      <c r="B10" s="45" t="inlineStr">
        <is>
          <t>Assessment Deliverable</t>
        </is>
      </c>
      <c r="C10" s="46" t="inlineStr">
        <is>
          <t>Weight %</t>
        </is>
      </c>
      <c r="D10" s="46" t="inlineStr">
        <is>
          <t>Max Pts</t>
        </is>
      </c>
      <c r="E10" s="44" t="inlineStr">
        <is>
          <t>Earned Pts ✍️</t>
        </is>
      </c>
      <c r="F10" s="44" t="inlineStr">
        <is>
          <t>Score %</t>
        </is>
      </c>
      <c r="G10" s="44" t="inlineStr">
        <is>
          <t>Weighted Earned %</t>
        </is>
      </c>
      <c r="H10" s="44" t="inlineStr">
        <is>
          <t>Due Date</t>
        </is>
      </c>
      <c r="I10" s="44" t="inlineStr">
        <is>
          <t>Status</t>
        </is>
      </c>
      <c r="J10" s="45" t="inlineStr">
        <is>
          <t>Hurdle / Notes</t>
        </is>
      </c>
    </row>
    <row r="11" ht="20" customHeight="1">
      <c r="A11" s="47" t="inlineStr">
        <is>
          <t>Labs</t>
        </is>
      </c>
      <c r="B11" s="12" t="inlineStr">
        <is>
          <t>Lab 1</t>
        </is>
      </c>
      <c r="C11" s="15" t="n">
        <v>0.02</v>
      </c>
      <c r="D11" s="48" t="n">
        <v>100</v>
      </c>
      <c r="E11" s="49" t="n"/>
      <c r="F11" s="15">
        <f>IF(OR(ISBLANK(E11), E11=""), "", E11/D11)</f>
        <v/>
      </c>
      <c r="G11" s="50">
        <f>IF(OR(ISBLANK(E11), E11=""), "", F11*C11)</f>
        <v/>
      </c>
      <c r="H11" s="51" t="inlineStr">
        <is>
          <t>2026-10-23</t>
        </is>
      </c>
      <c r="I11" s="52" t="inlineStr">
        <is>
          <t>Not Started</t>
        </is>
      </c>
      <c r="J11" s="53" t="inlineStr"/>
    </row>
    <row r="12" ht="20" customHeight="1">
      <c r="A12" s="54" t="inlineStr">
        <is>
          <t>Labs</t>
        </is>
      </c>
      <c r="B12" s="20" t="inlineStr">
        <is>
          <t>Lab 2</t>
        </is>
      </c>
      <c r="C12" s="23" t="n">
        <v>0.02</v>
      </c>
      <c r="D12" s="55" t="n">
        <v>100</v>
      </c>
      <c r="E12" s="49" t="n"/>
      <c r="F12" s="23">
        <f>IF(OR(ISBLANK(E12), E12=""), "", E12/D12)</f>
        <v/>
      </c>
      <c r="G12" s="56">
        <f>IF(OR(ISBLANK(E12), E12=""), "", F12*C12)</f>
        <v/>
      </c>
      <c r="H12" s="57" t="inlineStr">
        <is>
          <t>2026-10-23</t>
        </is>
      </c>
      <c r="I12" s="52" t="inlineStr">
        <is>
          <t>Not Started</t>
        </is>
      </c>
      <c r="J12" s="58" t="inlineStr"/>
    </row>
    <row r="13" ht="20" customHeight="1">
      <c r="A13" s="47" t="inlineStr">
        <is>
          <t>Labs</t>
        </is>
      </c>
      <c r="B13" s="12" t="inlineStr">
        <is>
          <t>Lab 3</t>
        </is>
      </c>
      <c r="C13" s="15" t="n">
        <v>0.02</v>
      </c>
      <c r="D13" s="48" t="n">
        <v>100</v>
      </c>
      <c r="E13" s="49" t="n"/>
      <c r="F13" s="15">
        <f>IF(OR(ISBLANK(E13), E13=""), "", E13/D13)</f>
        <v/>
      </c>
      <c r="G13" s="50">
        <f>IF(OR(ISBLANK(E13), E13=""), "", F13*C13)</f>
        <v/>
      </c>
      <c r="H13" s="51" t="inlineStr">
        <is>
          <t>2026-10-23</t>
        </is>
      </c>
      <c r="I13" s="52" t="inlineStr">
        <is>
          <t>Not Started</t>
        </is>
      </c>
      <c r="J13" s="53" t="inlineStr"/>
    </row>
    <row r="14" ht="20" customHeight="1">
      <c r="A14" s="54" t="inlineStr">
        <is>
          <t>Labs</t>
        </is>
      </c>
      <c r="B14" s="20" t="inlineStr">
        <is>
          <t>Lab 4</t>
        </is>
      </c>
      <c r="C14" s="23" t="n">
        <v>0.02</v>
      </c>
      <c r="D14" s="55" t="n">
        <v>100</v>
      </c>
      <c r="E14" s="49" t="n"/>
      <c r="F14" s="23">
        <f>IF(OR(ISBLANK(E14), E14=""), "", E14/D14)</f>
        <v/>
      </c>
      <c r="G14" s="56">
        <f>IF(OR(ISBLANK(E14), E14=""), "", F14*C14)</f>
        <v/>
      </c>
      <c r="H14" s="57" t="inlineStr">
        <is>
          <t>2026-10-23</t>
        </is>
      </c>
      <c r="I14" s="52" t="inlineStr">
        <is>
          <t>Not Started</t>
        </is>
      </c>
      <c r="J14" s="58" t="inlineStr"/>
    </row>
    <row r="15" ht="20" customHeight="1">
      <c r="A15" s="47" t="inlineStr">
        <is>
          <t>Labs</t>
        </is>
      </c>
      <c r="B15" s="12" t="inlineStr">
        <is>
          <t>Lab 5</t>
        </is>
      </c>
      <c r="C15" s="15" t="n">
        <v>0.02</v>
      </c>
      <c r="D15" s="48" t="n">
        <v>100</v>
      </c>
      <c r="E15" s="49" t="n"/>
      <c r="F15" s="15">
        <f>IF(OR(ISBLANK(E15), E15=""), "", E15/D15)</f>
        <v/>
      </c>
      <c r="G15" s="50">
        <f>IF(OR(ISBLANK(E15), E15=""), "", F15*C15)</f>
        <v/>
      </c>
      <c r="H15" s="51" t="inlineStr">
        <is>
          <t>TBA</t>
        </is>
      </c>
      <c r="I15" s="52" t="inlineStr">
        <is>
          <t>Not Started</t>
        </is>
      </c>
      <c r="J15" s="53" t="inlineStr"/>
    </row>
    <row r="16" ht="20" customHeight="1">
      <c r="A16" s="54" t="inlineStr">
        <is>
          <t>Labs</t>
        </is>
      </c>
      <c r="B16" s="20" t="inlineStr">
        <is>
          <t>Lab 6</t>
        </is>
      </c>
      <c r="C16" s="23" t="n">
        <v>0.02</v>
      </c>
      <c r="D16" s="55" t="n">
        <v>100</v>
      </c>
      <c r="E16" s="49" t="n"/>
      <c r="F16" s="23">
        <f>IF(OR(ISBLANK(E16), E16=""), "", E16/D16)</f>
        <v/>
      </c>
      <c r="G16" s="56">
        <f>IF(OR(ISBLANK(E16), E16=""), "", F16*C16)</f>
        <v/>
      </c>
      <c r="H16" s="57" t="inlineStr">
        <is>
          <t>TBA</t>
        </is>
      </c>
      <c r="I16" s="52" t="inlineStr">
        <is>
          <t>Not Started</t>
        </is>
      </c>
      <c r="J16" s="58" t="inlineStr"/>
    </row>
    <row r="17" ht="20" customHeight="1">
      <c r="A17" s="47" t="inlineStr">
        <is>
          <t>Labs</t>
        </is>
      </c>
      <c r="B17" s="12" t="inlineStr">
        <is>
          <t>Lab 7</t>
        </is>
      </c>
      <c r="C17" s="15" t="n">
        <v>0.02</v>
      </c>
      <c r="D17" s="48" t="n">
        <v>100</v>
      </c>
      <c r="E17" s="49" t="n"/>
      <c r="F17" s="15">
        <f>IF(OR(ISBLANK(E17), E17=""), "", E17/D17)</f>
        <v/>
      </c>
      <c r="G17" s="50">
        <f>IF(OR(ISBLANK(E17), E17=""), "", F17*C17)</f>
        <v/>
      </c>
      <c r="H17" s="51" t="inlineStr">
        <is>
          <t>TBA</t>
        </is>
      </c>
      <c r="I17" s="52" t="inlineStr">
        <is>
          <t>Not Started</t>
        </is>
      </c>
      <c r="J17" s="53" t="inlineStr"/>
    </row>
    <row r="18" ht="20" customHeight="1">
      <c r="A18" s="54" t="inlineStr">
        <is>
          <t>Labs</t>
        </is>
      </c>
      <c r="B18" s="20" t="inlineStr">
        <is>
          <t>Lab 8</t>
        </is>
      </c>
      <c r="C18" s="23" t="n">
        <v>0.02</v>
      </c>
      <c r="D18" s="55" t="n">
        <v>100</v>
      </c>
      <c r="E18" s="49" t="n"/>
      <c r="F18" s="23">
        <f>IF(OR(ISBLANK(E18), E18=""), "", E18/D18)</f>
        <v/>
      </c>
      <c r="G18" s="56">
        <f>IF(OR(ISBLANK(E18), E18=""), "", F18*C18)</f>
        <v/>
      </c>
      <c r="H18" s="57" t="inlineStr">
        <is>
          <t>TBA</t>
        </is>
      </c>
      <c r="I18" s="52" t="inlineStr">
        <is>
          <t>Not Started</t>
        </is>
      </c>
      <c r="J18" s="58" t="inlineStr"/>
    </row>
    <row r="19" ht="20" customHeight="1">
      <c r="A19" s="47" t="inlineStr">
        <is>
          <t>Assignments</t>
        </is>
      </c>
      <c r="B19" s="12" t="inlineStr">
        <is>
          <t>Assignment 1</t>
        </is>
      </c>
      <c r="C19" s="15" t="n">
        <v>0.15</v>
      </c>
      <c r="D19" s="48" t="n">
        <v>100</v>
      </c>
      <c r="E19" s="49" t="n"/>
      <c r="F19" s="15">
        <f>IF(OR(ISBLANK(E19), E19=""), "", E19/D19)</f>
        <v/>
      </c>
      <c r="G19" s="50">
        <f>IF(OR(ISBLANK(E19), E19=""), "", F19*C19)</f>
        <v/>
      </c>
      <c r="H19" s="51" t="inlineStr">
        <is>
          <t>TBA</t>
        </is>
      </c>
      <c r="I19" s="52" t="inlineStr">
        <is>
          <t>Not Started</t>
        </is>
      </c>
      <c r="J19" s="53" t="inlineStr"/>
    </row>
    <row r="20" ht="20" customHeight="1">
      <c r="A20" s="54" t="inlineStr">
        <is>
          <t>Assignments</t>
        </is>
      </c>
      <c r="B20" s="20" t="inlineStr">
        <is>
          <t>Assignment 2</t>
        </is>
      </c>
      <c r="C20" s="23" t="n">
        <v>0.15</v>
      </c>
      <c r="D20" s="55" t="n">
        <v>100</v>
      </c>
      <c r="E20" s="49" t="n"/>
      <c r="F20" s="23">
        <f>IF(OR(ISBLANK(E20), E20=""), "", E20/D20)</f>
        <v/>
      </c>
      <c r="G20" s="56">
        <f>IF(OR(ISBLANK(E20), E20=""), "", F20*C20)</f>
        <v/>
      </c>
      <c r="H20" s="57" t="inlineStr">
        <is>
          <t>TBA</t>
        </is>
      </c>
      <c r="I20" s="52" t="inlineStr">
        <is>
          <t>Not Started</t>
        </is>
      </c>
      <c r="J20" s="58" t="inlineStr"/>
    </row>
    <row r="21" ht="20" customHeight="1">
      <c r="A21" s="47" t="inlineStr">
        <is>
          <t>Quizzes</t>
        </is>
      </c>
      <c r="B21" s="12" t="inlineStr">
        <is>
          <t>Quiz 1</t>
        </is>
      </c>
      <c r="C21" s="15" t="n">
        <v>0.01</v>
      </c>
      <c r="D21" s="48" t="n">
        <v>100</v>
      </c>
      <c r="E21" s="49" t="n"/>
      <c r="F21" s="15">
        <f>IF(OR(ISBLANK(E21), E21=""), "", E21/D21)</f>
        <v/>
      </c>
      <c r="G21" s="50">
        <f>IF(OR(ISBLANK(E21), E21=""), "", F21*C21)</f>
        <v/>
      </c>
      <c r="H21" s="51" t="inlineStr">
        <is>
          <t>TBA</t>
        </is>
      </c>
      <c r="I21" s="52" t="inlineStr">
        <is>
          <t>Not Started</t>
        </is>
      </c>
      <c r="J21" s="53" t="inlineStr"/>
    </row>
    <row r="22" ht="20" customHeight="1">
      <c r="A22" s="54" t="inlineStr">
        <is>
          <t>Quizzes</t>
        </is>
      </c>
      <c r="B22" s="20" t="inlineStr">
        <is>
          <t>Quiz 2</t>
        </is>
      </c>
      <c r="C22" s="23" t="n">
        <v>0.01</v>
      </c>
      <c r="D22" s="55" t="n">
        <v>100</v>
      </c>
      <c r="E22" s="49" t="n"/>
      <c r="F22" s="23">
        <f>IF(OR(ISBLANK(E22), E22=""), "", E22/D22)</f>
        <v/>
      </c>
      <c r="G22" s="56">
        <f>IF(OR(ISBLANK(E22), E22=""), "", F22*C22)</f>
        <v/>
      </c>
      <c r="H22" s="57" t="inlineStr">
        <is>
          <t>TBA</t>
        </is>
      </c>
      <c r="I22" s="52" t="inlineStr">
        <is>
          <t>Not Started</t>
        </is>
      </c>
      <c r="J22" s="58" t="inlineStr"/>
    </row>
    <row r="23" ht="20" customHeight="1">
      <c r="A23" s="47" t="inlineStr">
        <is>
          <t>Quizzes</t>
        </is>
      </c>
      <c r="B23" s="12" t="inlineStr">
        <is>
          <t>Quiz 3</t>
        </is>
      </c>
      <c r="C23" s="15" t="n">
        <v>0.01</v>
      </c>
      <c r="D23" s="48" t="n">
        <v>100</v>
      </c>
      <c r="E23" s="49" t="n"/>
      <c r="F23" s="15">
        <f>IF(OR(ISBLANK(E23), E23=""), "", E23/D23)</f>
        <v/>
      </c>
      <c r="G23" s="50">
        <f>IF(OR(ISBLANK(E23), E23=""), "", F23*C23)</f>
        <v/>
      </c>
      <c r="H23" s="51" t="inlineStr">
        <is>
          <t>TBA</t>
        </is>
      </c>
      <c r="I23" s="52" t="inlineStr">
        <is>
          <t>Not Started</t>
        </is>
      </c>
      <c r="J23" s="53" t="inlineStr"/>
    </row>
    <row r="24" ht="20" customHeight="1">
      <c r="A24" s="54" t="inlineStr">
        <is>
          <t>Quizzes</t>
        </is>
      </c>
      <c r="B24" s="20" t="inlineStr">
        <is>
          <t>Quiz 4</t>
        </is>
      </c>
      <c r="C24" s="23" t="n">
        <v>0.01</v>
      </c>
      <c r="D24" s="55" t="n">
        <v>100</v>
      </c>
      <c r="E24" s="49" t="n"/>
      <c r="F24" s="23">
        <f>IF(OR(ISBLANK(E24), E24=""), "", E24/D24)</f>
        <v/>
      </c>
      <c r="G24" s="56">
        <f>IF(OR(ISBLANK(E24), E24=""), "", F24*C24)</f>
        <v/>
      </c>
      <c r="H24" s="57" t="inlineStr">
        <is>
          <t>TBA</t>
        </is>
      </c>
      <c r="I24" s="52" t="inlineStr">
        <is>
          <t>Not Started</t>
        </is>
      </c>
      <c r="J24" s="58" t="inlineStr"/>
    </row>
    <row r="25" ht="20" customHeight="1">
      <c r="A25" s="47" t="inlineStr">
        <is>
          <t>Midterm Test</t>
        </is>
      </c>
      <c r="B25" s="12" t="inlineStr">
        <is>
          <t>Midterm Test</t>
        </is>
      </c>
      <c r="C25" s="15" t="n">
        <v>0.25</v>
      </c>
      <c r="D25" s="48" t="n">
        <v>100</v>
      </c>
      <c r="E25" s="49" t="n"/>
      <c r="F25" s="15">
        <f>IF(OR(ISBLANK(E25), E25=""), "", E25/D25)</f>
        <v/>
      </c>
      <c r="G25" s="50">
        <f>IF(OR(ISBLANK(E25), E25=""), "", F25*C25)</f>
        <v/>
      </c>
      <c r="H25" s="51" t="inlineStr">
        <is>
          <t>2026-10-21</t>
        </is>
      </c>
      <c r="I25" s="52" t="inlineStr">
        <is>
          <t>Not Started</t>
        </is>
      </c>
      <c r="J25" s="59" t="inlineStr">
        <is>
          <t>Mandatory Test Hurdle (&gt;=50%)</t>
        </is>
      </c>
    </row>
    <row r="26" ht="20" customHeight="1">
      <c r="A26" s="54" t="inlineStr">
        <is>
          <t>Final Test</t>
        </is>
      </c>
      <c r="B26" s="20" t="inlineStr">
        <is>
          <t>Final Test</t>
        </is>
      </c>
      <c r="C26" s="23" t="n">
        <v>0.25</v>
      </c>
      <c r="D26" s="55" t="n">
        <v>100</v>
      </c>
      <c r="E26" s="49" t="n"/>
      <c r="F26" s="23">
        <f>IF(OR(ISBLANK(E26), E26=""), "", E26/D26)</f>
        <v/>
      </c>
      <c r="G26" s="56">
        <f>IF(OR(ISBLANK(E26), E26=""), "", F26*C26)</f>
        <v/>
      </c>
      <c r="H26" s="57" t="inlineStr">
        <is>
          <t>TBA</t>
        </is>
      </c>
      <c r="I26" s="52" t="inlineStr">
        <is>
          <t>Not Started</t>
        </is>
      </c>
      <c r="J26" s="60" t="inlineStr">
        <is>
          <t>Mandatory Test Hurdle (&gt;=50%)</t>
        </is>
      </c>
    </row>
    <row r="27" ht="22" customHeight="1">
      <c r="A27" s="27" t="inlineStr">
        <is>
          <t>COURSE TOTAL &amp; WEIGHTS</t>
        </is>
      </c>
      <c r="B27" s="27" t="n"/>
      <c r="C27" s="30">
        <f>SUM(C11:C26)</f>
        <v/>
      </c>
      <c r="D27" s="27">
        <f>SUM(D11:D26)</f>
        <v/>
      </c>
      <c r="E27" s="27">
        <f>SUM(E11:E26)</f>
        <v/>
      </c>
      <c r="F27" s="31" t="inlineStr">
        <is>
          <t>--</t>
        </is>
      </c>
      <c r="G27" s="61">
        <f>SUM(G11:G26)</f>
        <v/>
      </c>
      <c r="H27" s="62" t="inlineStr"/>
      <c r="I27" s="62" t="inlineStr"/>
      <c r="J27" s="62" t="inlineStr"/>
    </row>
  </sheetData>
  <mergeCells count="21">
    <mergeCell ref="C6:D6"/>
    <mergeCell ref="I6:J6"/>
    <mergeCell ref="C5:D5"/>
    <mergeCell ref="E5:F5"/>
    <mergeCell ref="A1:H1"/>
    <mergeCell ref="A6:B6"/>
    <mergeCell ref="A7:B7"/>
    <mergeCell ref="G7:H7"/>
    <mergeCell ref="A9:J9"/>
    <mergeCell ref="I7:J7"/>
    <mergeCell ref="G6:H6"/>
    <mergeCell ref="A27:B27"/>
    <mergeCell ref="E6:F6"/>
    <mergeCell ref="A5:B5"/>
    <mergeCell ref="G5:H5"/>
    <mergeCell ref="I5:J5"/>
    <mergeCell ref="I1:J1"/>
    <mergeCell ref="C7:D7"/>
    <mergeCell ref="E7:F7"/>
    <mergeCell ref="A3:J3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2" customWidth="1" min="3" max="3"/>
    <col width="12" customWidth="1" min="4" max="4"/>
    <col width="23" customWidth="1" min="5" max="5"/>
    <col width="12" customWidth="1" min="6" max="6"/>
    <col width="24" customWidth="1" min="7" max="7"/>
    <col width="13" customWidth="1" min="8" max="8"/>
    <col width="24" customWidth="1" min="9" max="9"/>
    <col width="17" customWidth="1" min="10" max="10"/>
  </cols>
  <sheetData>
    <row r="1" ht="24" customHeight="1">
      <c r="A1" s="1" t="inlineStr">
        <is>
          <t>WTP100: Work Term Preparation</t>
        </is>
      </c>
      <c r="I1" s="9">
        <f>HYPERLINK("#'Dashboard &amp; GPA'!A1", "⬅ Back to Dashboard")</f>
        <v/>
      </c>
      <c r="J1" s="9" t="n"/>
    </row>
    <row r="2" ht="18" customHeight="1">
      <c r="A2" s="2" t="inlineStr">
        <is>
          <t>Credits: 1.0  •  Classification: Co-op Prep  •  Grade Scale: SAT/UN</t>
        </is>
      </c>
    </row>
    <row r="3" ht="20" customHeight="1">
      <c r="A3" s="41" t="inlineStr">
        <is>
          <t>📌 PASSING REQUIREMENTS: Successfully complete each of the 14 modules  •  Pass each Knowledge Check with a passing score of 80% or higher to earn SAT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</row>
    <row r="4" ht="8" customHeight="1"/>
    <row r="5" ht="16" customHeight="1">
      <c r="A5" s="4" t="inlineStr">
        <is>
          <t>COMPLETED WEIGHT</t>
        </is>
      </c>
      <c r="B5" s="4" t="n"/>
      <c r="C5" s="4" t="inlineStr">
        <is>
          <t>WEIGHTED EARNED</t>
        </is>
      </c>
      <c r="D5" s="4" t="n"/>
      <c r="E5" s="4" t="inlineStr">
        <is>
          <t>CURRENT AVERAGE</t>
        </is>
      </c>
      <c r="F5" s="4" t="n"/>
      <c r="G5" s="4" t="inlineStr">
        <is>
          <t>PROJECTED FINAL</t>
        </is>
      </c>
      <c r="H5" s="4" t="n"/>
      <c r="I5" s="4" t="inlineStr">
        <is>
          <t>HURDLE COMPLIANCE</t>
        </is>
      </c>
      <c r="J5" s="4" t="n"/>
    </row>
    <row r="6" ht="26" customHeight="1">
      <c r="A6" s="6">
        <f>SUMIF(E11:E24, "&lt;&gt;", C11:C24)</f>
        <v/>
      </c>
      <c r="B6" s="6" t="n"/>
      <c r="C6" s="42">
        <f>SUM(G11:G24)</f>
        <v/>
      </c>
      <c r="D6" s="42" t="n"/>
      <c r="E6" s="6">
        <f>IF(A6&gt;0, C6/A6, "--")</f>
        <v/>
      </c>
      <c r="F6" s="6" t="n"/>
      <c r="G6" s="6">
        <f>IF(A6&gt;0, C6 + (1-A6)*E6, "--")</f>
        <v/>
      </c>
      <c r="H6" s="6" t="n"/>
      <c r="I6" s="43">
        <f>IF(A6&gt;0, IF(E6&gt;=0.5, "ON TRACK (PASSED)", "NEEDS ATTENTION"), "PENDING")</f>
        <v/>
      </c>
      <c r="J6" s="43" t="n"/>
    </row>
    <row r="7" ht="16" customHeight="1">
      <c r="A7" s="8" t="inlineStr">
        <is>
          <t>of 100.0% Course Total</t>
        </is>
      </c>
      <c r="B7" s="8" t="n"/>
      <c r="C7" s="8" t="inlineStr">
        <is>
          <t>Points Accumulated</t>
        </is>
      </c>
      <c r="D7" s="8" t="n"/>
      <c r="E7" s="8" t="inlineStr">
        <is>
          <t>Based on graded work</t>
        </is>
      </c>
      <c r="F7" s="8" t="n"/>
      <c r="G7" s="8" t="inlineStr">
        <is>
          <t>Assuming current pace</t>
        </is>
      </c>
      <c r="H7" s="8" t="n"/>
      <c r="I7" s="8" t="inlineStr">
        <is>
          <t>Overall &gt;=50% to Pass</t>
        </is>
      </c>
      <c r="J7" s="8" t="n"/>
    </row>
    <row r="8" ht="8" customHeight="1"/>
    <row r="9" ht="20" customHeight="1">
      <c r="A9" s="3" t="inlineStr">
        <is>
          <t>💡 ENTER MARKS: Enter your points earned in the light blue 'Earned Pts' column (Col E). Scores, weighted points, and GPA recalculate automatically.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26" customHeight="1">
      <c r="A10" s="44" t="inlineStr">
        <is>
          <t>Category</t>
        </is>
      </c>
      <c r="B10" s="45" t="inlineStr">
        <is>
          <t>Assessment Deliverable</t>
        </is>
      </c>
      <c r="C10" s="46" t="inlineStr">
        <is>
          <t>Weight %</t>
        </is>
      </c>
      <c r="D10" s="46" t="inlineStr">
        <is>
          <t>Max Pts</t>
        </is>
      </c>
      <c r="E10" s="44" t="inlineStr">
        <is>
          <t>Earned Pts ✍️</t>
        </is>
      </c>
      <c r="F10" s="44" t="inlineStr">
        <is>
          <t>Score %</t>
        </is>
      </c>
      <c r="G10" s="44" t="inlineStr">
        <is>
          <t>Weighted Earned %</t>
        </is>
      </c>
      <c r="H10" s="44" t="inlineStr">
        <is>
          <t>Due Date</t>
        </is>
      </c>
      <c r="I10" s="44" t="inlineStr">
        <is>
          <t>Status</t>
        </is>
      </c>
      <c r="J10" s="45" t="inlineStr">
        <is>
          <t>Hurdle / Notes</t>
        </is>
      </c>
    </row>
    <row r="11" ht="20" customHeight="1">
      <c r="A11" s="47" t="inlineStr">
        <is>
          <t>Modules &amp; Knowledge Checks</t>
        </is>
      </c>
      <c r="B11" s="12" t="inlineStr">
        <is>
          <t>Module 1</t>
        </is>
      </c>
      <c r="C11" s="15" t="n">
        <v>0.07139999999999999</v>
      </c>
      <c r="D11" s="48" t="n">
        <v>100</v>
      </c>
      <c r="E11" s="49" t="n"/>
      <c r="F11" s="15">
        <f>IF(OR(ISBLANK(E11), E11=""), "", E11/D11)</f>
        <v/>
      </c>
      <c r="G11" s="50">
        <f>IF(OR(ISBLANK(E11), E11=""), "", F11*C11)</f>
        <v/>
      </c>
      <c r="H11" s="51" t="inlineStr">
        <is>
          <t>2026-9-11</t>
        </is>
      </c>
      <c r="I11" s="63" t="inlineStr">
        <is>
          <t>Done</t>
        </is>
      </c>
      <c r="J11" s="53" t="inlineStr"/>
    </row>
    <row r="12" ht="20" customHeight="1">
      <c r="A12" s="54" t="inlineStr">
        <is>
          <t>Modules &amp; Knowledge Checks</t>
        </is>
      </c>
      <c r="B12" s="20" t="inlineStr">
        <is>
          <t>Module 2</t>
        </is>
      </c>
      <c r="C12" s="23" t="n">
        <v>0.07139999999999999</v>
      </c>
      <c r="D12" s="55" t="n">
        <v>100</v>
      </c>
      <c r="E12" s="49" t="n"/>
      <c r="F12" s="23">
        <f>IF(OR(ISBLANK(E12), E12=""), "", E12/D12)</f>
        <v/>
      </c>
      <c r="G12" s="56">
        <f>IF(OR(ISBLANK(E12), E12=""), "", F12*C12)</f>
        <v/>
      </c>
      <c r="H12" s="57" t="inlineStr">
        <is>
          <t>2026-9-11</t>
        </is>
      </c>
      <c r="I12" s="63" t="inlineStr">
        <is>
          <t>Done</t>
        </is>
      </c>
      <c r="J12" s="58" t="inlineStr"/>
    </row>
    <row r="13" ht="20" customHeight="1">
      <c r="A13" s="47" t="inlineStr">
        <is>
          <t>Modules &amp; Knowledge Checks</t>
        </is>
      </c>
      <c r="B13" s="12" t="inlineStr">
        <is>
          <t>Module 3</t>
        </is>
      </c>
      <c r="C13" s="15" t="n">
        <v>0.07139999999999999</v>
      </c>
      <c r="D13" s="48" t="n">
        <v>100</v>
      </c>
      <c r="E13" s="49" t="n"/>
      <c r="F13" s="15">
        <f>IF(OR(ISBLANK(E13), E13=""), "", E13/D13)</f>
        <v/>
      </c>
      <c r="G13" s="50">
        <f>IF(OR(ISBLANK(E13), E13=""), "", F13*C13)</f>
        <v/>
      </c>
      <c r="H13" s="51" t="inlineStr">
        <is>
          <t>2026-9-11</t>
        </is>
      </c>
      <c r="I13" s="64" t="inlineStr">
        <is>
          <t>In Progress</t>
        </is>
      </c>
      <c r="J13" s="53" t="inlineStr"/>
    </row>
    <row r="14" ht="20" customHeight="1">
      <c r="A14" s="54" t="inlineStr">
        <is>
          <t>Modules &amp; Knowledge Checks</t>
        </is>
      </c>
      <c r="B14" s="20" t="inlineStr">
        <is>
          <t>Module 4</t>
        </is>
      </c>
      <c r="C14" s="23" t="n">
        <v>0.07139999999999999</v>
      </c>
      <c r="D14" s="55" t="n">
        <v>100</v>
      </c>
      <c r="E14" s="49" t="n"/>
      <c r="F14" s="23">
        <f>IF(OR(ISBLANK(E14), E14=""), "", E14/D14)</f>
        <v/>
      </c>
      <c r="G14" s="56">
        <f>IF(OR(ISBLANK(E14), E14=""), "", F14*C14)</f>
        <v/>
      </c>
      <c r="H14" s="57" t="inlineStr">
        <is>
          <t>2026-9-18</t>
        </is>
      </c>
      <c r="I14" s="52" t="inlineStr">
        <is>
          <t>Not Started</t>
        </is>
      </c>
      <c r="J14" s="58" t="inlineStr"/>
    </row>
    <row r="15" ht="20" customHeight="1">
      <c r="A15" s="47" t="inlineStr">
        <is>
          <t>Modules &amp; Knowledge Checks</t>
        </is>
      </c>
      <c r="B15" s="12" t="inlineStr">
        <is>
          <t>Module 5</t>
        </is>
      </c>
      <c r="C15" s="15" t="n">
        <v>0.07139999999999999</v>
      </c>
      <c r="D15" s="48" t="n">
        <v>100</v>
      </c>
      <c r="E15" s="49" t="n"/>
      <c r="F15" s="15">
        <f>IF(OR(ISBLANK(E15), E15=""), "", E15/D15)</f>
        <v/>
      </c>
      <c r="G15" s="50">
        <f>IF(OR(ISBLANK(E15), E15=""), "", F15*C15)</f>
        <v/>
      </c>
      <c r="H15" s="51" t="inlineStr">
        <is>
          <t>2026-9-18</t>
        </is>
      </c>
      <c r="I15" s="52" t="inlineStr">
        <is>
          <t>Not Started</t>
        </is>
      </c>
      <c r="J15" s="53" t="inlineStr"/>
    </row>
    <row r="16" ht="20" customHeight="1">
      <c r="A16" s="54" t="inlineStr">
        <is>
          <t>Modules &amp; Knowledge Checks</t>
        </is>
      </c>
      <c r="B16" s="20" t="inlineStr">
        <is>
          <t>Module 6</t>
        </is>
      </c>
      <c r="C16" s="23" t="n">
        <v>0.07139999999999999</v>
      </c>
      <c r="D16" s="55" t="n">
        <v>100</v>
      </c>
      <c r="E16" s="49" t="n"/>
      <c r="F16" s="23">
        <f>IF(OR(ISBLANK(E16), E16=""), "", E16/D16)</f>
        <v/>
      </c>
      <c r="G16" s="56">
        <f>IF(OR(ISBLANK(E16), E16=""), "", F16*C16)</f>
        <v/>
      </c>
      <c r="H16" s="57" t="inlineStr">
        <is>
          <t>2026-9-25</t>
        </is>
      </c>
      <c r="I16" s="52" t="inlineStr">
        <is>
          <t>Not Started</t>
        </is>
      </c>
      <c r="J16" s="58" t="inlineStr"/>
    </row>
    <row r="17" ht="20" customHeight="1">
      <c r="A17" s="47" t="inlineStr">
        <is>
          <t>Modules &amp; Knowledge Checks</t>
        </is>
      </c>
      <c r="B17" s="12" t="inlineStr">
        <is>
          <t>Module 7</t>
        </is>
      </c>
      <c r="C17" s="15" t="n">
        <v>0.07139999999999999</v>
      </c>
      <c r="D17" s="48" t="n">
        <v>100</v>
      </c>
      <c r="E17" s="49" t="n"/>
      <c r="F17" s="15">
        <f>IF(OR(ISBLANK(E17), E17=""), "", E17/D17)</f>
        <v/>
      </c>
      <c r="G17" s="50">
        <f>IF(OR(ISBLANK(E17), E17=""), "", F17*C17)</f>
        <v/>
      </c>
      <c r="H17" s="51" t="inlineStr">
        <is>
          <t>2026-9-25</t>
        </is>
      </c>
      <c r="I17" s="52" t="inlineStr">
        <is>
          <t>Not Started</t>
        </is>
      </c>
      <c r="J17" s="53" t="inlineStr"/>
    </row>
    <row r="18" ht="20" customHeight="1">
      <c r="A18" s="54" t="inlineStr">
        <is>
          <t>Modules &amp; Knowledge Checks</t>
        </is>
      </c>
      <c r="B18" s="20" t="inlineStr">
        <is>
          <t>Module 8</t>
        </is>
      </c>
      <c r="C18" s="23" t="n">
        <v>0.07139999999999999</v>
      </c>
      <c r="D18" s="55" t="n">
        <v>100</v>
      </c>
      <c r="E18" s="49" t="n"/>
      <c r="F18" s="23">
        <f>IF(OR(ISBLANK(E18), E18=""), "", E18/D18)</f>
        <v/>
      </c>
      <c r="G18" s="56">
        <f>IF(OR(ISBLANK(E18), E18=""), "", F18*C18)</f>
        <v/>
      </c>
      <c r="H18" s="57" t="inlineStr">
        <is>
          <t>2026-10-02</t>
        </is>
      </c>
      <c r="I18" s="52" t="inlineStr">
        <is>
          <t>Not Started</t>
        </is>
      </c>
      <c r="J18" s="58" t="inlineStr"/>
    </row>
    <row r="19" ht="20" customHeight="1">
      <c r="A19" s="47" t="inlineStr">
        <is>
          <t>Modules &amp; Knowledge Checks</t>
        </is>
      </c>
      <c r="B19" s="12" t="inlineStr">
        <is>
          <t>Module 9</t>
        </is>
      </c>
      <c r="C19" s="15" t="n">
        <v>0.07139999999999999</v>
      </c>
      <c r="D19" s="48" t="n">
        <v>100</v>
      </c>
      <c r="E19" s="49" t="n"/>
      <c r="F19" s="15">
        <f>IF(OR(ISBLANK(E19), E19=""), "", E19/D19)</f>
        <v/>
      </c>
      <c r="G19" s="50">
        <f>IF(OR(ISBLANK(E19), E19=""), "", F19*C19)</f>
        <v/>
      </c>
      <c r="H19" s="51" t="inlineStr">
        <is>
          <t>2026-10-02</t>
        </is>
      </c>
      <c r="I19" s="52" t="inlineStr">
        <is>
          <t>Not Started</t>
        </is>
      </c>
      <c r="J19" s="53" t="inlineStr"/>
    </row>
    <row r="20" ht="20" customHeight="1">
      <c r="A20" s="54" t="inlineStr">
        <is>
          <t>Modules &amp; Knowledge Checks</t>
        </is>
      </c>
      <c r="B20" s="20" t="inlineStr">
        <is>
          <t>Module 10</t>
        </is>
      </c>
      <c r="C20" s="23" t="n">
        <v>0.07139999999999999</v>
      </c>
      <c r="D20" s="55" t="n">
        <v>100</v>
      </c>
      <c r="E20" s="49" t="n"/>
      <c r="F20" s="23">
        <f>IF(OR(ISBLANK(E20), E20=""), "", E20/D20)</f>
        <v/>
      </c>
      <c r="G20" s="56">
        <f>IF(OR(ISBLANK(E20), E20=""), "", F20*C20)</f>
        <v/>
      </c>
      <c r="H20" s="57" t="inlineStr">
        <is>
          <t>2026-9-11</t>
        </is>
      </c>
      <c r="I20" s="63" t="inlineStr">
        <is>
          <t>Done</t>
        </is>
      </c>
      <c r="J20" s="58" t="inlineStr"/>
    </row>
    <row r="21" ht="20" customHeight="1">
      <c r="A21" s="47" t="inlineStr">
        <is>
          <t>Modules &amp; Knowledge Checks</t>
        </is>
      </c>
      <c r="B21" s="12" t="inlineStr">
        <is>
          <t>Module 11</t>
        </is>
      </c>
      <c r="C21" s="15" t="n">
        <v>0.07139999999999999</v>
      </c>
      <c r="D21" s="48" t="n">
        <v>100</v>
      </c>
      <c r="E21" s="49" t="n"/>
      <c r="F21" s="15">
        <f>IF(OR(ISBLANK(E21), E21=""), "", E21/D21)</f>
        <v/>
      </c>
      <c r="G21" s="50">
        <f>IF(OR(ISBLANK(E21), E21=""), "", F21*C21)</f>
        <v/>
      </c>
      <c r="H21" s="51" t="inlineStr">
        <is>
          <t>2026-9-11</t>
        </is>
      </c>
      <c r="I21" s="63" t="inlineStr">
        <is>
          <t>Done</t>
        </is>
      </c>
      <c r="J21" s="53" t="inlineStr"/>
    </row>
    <row r="22" ht="20" customHeight="1">
      <c r="A22" s="54" t="inlineStr">
        <is>
          <t>Modules &amp; Knowledge Checks</t>
        </is>
      </c>
      <c r="B22" s="20" t="inlineStr">
        <is>
          <t>Module 12</t>
        </is>
      </c>
      <c r="C22" s="23" t="n">
        <v>0.07139999999999999</v>
      </c>
      <c r="D22" s="55" t="n">
        <v>100</v>
      </c>
      <c r="E22" s="49" t="n"/>
      <c r="F22" s="23">
        <f>IF(OR(ISBLANK(E22), E22=""), "", E22/D22)</f>
        <v/>
      </c>
      <c r="G22" s="56">
        <f>IF(OR(ISBLANK(E22), E22=""), "", F22*C22)</f>
        <v/>
      </c>
      <c r="H22" s="57" t="inlineStr">
        <is>
          <t>2026-9-11</t>
        </is>
      </c>
      <c r="I22" s="63" t="inlineStr">
        <is>
          <t>Done</t>
        </is>
      </c>
      <c r="J22" s="58" t="inlineStr"/>
    </row>
    <row r="23" ht="20" customHeight="1">
      <c r="A23" s="47" t="inlineStr">
        <is>
          <t>Modules &amp; Knowledge Checks</t>
        </is>
      </c>
      <c r="B23" s="12" t="inlineStr">
        <is>
          <t>Module 13</t>
        </is>
      </c>
      <c r="C23" s="15" t="n">
        <v>0.07139999999999999</v>
      </c>
      <c r="D23" s="48" t="n">
        <v>100</v>
      </c>
      <c r="E23" s="49" t="n"/>
      <c r="F23" s="15">
        <f>IF(OR(ISBLANK(E23), E23=""), "", E23/D23)</f>
        <v/>
      </c>
      <c r="G23" s="50">
        <f>IF(OR(ISBLANK(E23), E23=""), "", F23*C23)</f>
        <v/>
      </c>
      <c r="H23" s="51" t="inlineStr">
        <is>
          <t>2026-9-11</t>
        </is>
      </c>
      <c r="I23" s="63" t="inlineStr">
        <is>
          <t>Done</t>
        </is>
      </c>
      <c r="J23" s="53" t="inlineStr"/>
    </row>
    <row r="24" ht="20" customHeight="1">
      <c r="A24" s="54" t="inlineStr">
        <is>
          <t>Modules &amp; Knowledge Checks</t>
        </is>
      </c>
      <c r="B24" s="20" t="inlineStr">
        <is>
          <t>Module 14</t>
        </is>
      </c>
      <c r="C24" s="23" t="n">
        <v>0.07180000000000007</v>
      </c>
      <c r="D24" s="55" t="n">
        <v>100</v>
      </c>
      <c r="E24" s="49" t="n"/>
      <c r="F24" s="23">
        <f>IF(OR(ISBLANK(E24), E24=""), "", E24/D24)</f>
        <v/>
      </c>
      <c r="G24" s="56">
        <f>IF(OR(ISBLANK(E24), E24=""), "", F24*C24)</f>
        <v/>
      </c>
      <c r="H24" s="57" t="inlineStr">
        <is>
          <t>2026-9-11</t>
        </is>
      </c>
      <c r="I24" s="63" t="inlineStr">
        <is>
          <t>Done</t>
        </is>
      </c>
      <c r="J24" s="58" t="inlineStr"/>
    </row>
    <row r="25" ht="22" customHeight="1">
      <c r="A25" s="27" t="inlineStr">
        <is>
          <t>COURSE TOTAL &amp; WEIGHTS</t>
        </is>
      </c>
      <c r="B25" s="27" t="n"/>
      <c r="C25" s="30">
        <f>SUM(C11:C24)</f>
        <v/>
      </c>
      <c r="D25" s="27">
        <f>SUM(D11:D24)</f>
        <v/>
      </c>
      <c r="E25" s="27">
        <f>SUM(E11:E24)</f>
        <v/>
      </c>
      <c r="F25" s="31" t="inlineStr">
        <is>
          <t>--</t>
        </is>
      </c>
      <c r="G25" s="61">
        <f>SUM(G11:G24)</f>
        <v/>
      </c>
      <c r="H25" s="62" t="inlineStr"/>
      <c r="I25" s="62" t="inlineStr"/>
      <c r="J25" s="62" t="inlineStr"/>
    </row>
  </sheetData>
  <mergeCells count="21">
    <mergeCell ref="C6:D6"/>
    <mergeCell ref="I6:J6"/>
    <mergeCell ref="C5:D5"/>
    <mergeCell ref="E5:F5"/>
    <mergeCell ref="A1:H1"/>
    <mergeCell ref="A6:B6"/>
    <mergeCell ref="A7:B7"/>
    <mergeCell ref="A25:B25"/>
    <mergeCell ref="G7:H7"/>
    <mergeCell ref="A9:J9"/>
    <mergeCell ref="I7:J7"/>
    <mergeCell ref="G6:H6"/>
    <mergeCell ref="E6:F6"/>
    <mergeCell ref="A5:B5"/>
    <mergeCell ref="G5:H5"/>
    <mergeCell ref="I5:J5"/>
    <mergeCell ref="I1:J1"/>
    <mergeCell ref="C7:D7"/>
    <mergeCell ref="E7:F7"/>
    <mergeCell ref="A3:J3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30" customWidth="1" min="3" max="3"/>
    <col width="14" customWidth="1" min="4" max="4"/>
    <col width="23" customWidth="1" min="5" max="5"/>
    <col width="16" customWidth="1" min="6" max="6"/>
    <col width="30" customWidth="1" min="7" max="7"/>
    <col width="12" customWidth="1" min="8" max="8"/>
    <col width="29" customWidth="1" min="9" max="9"/>
    <col width="26" customWidth="1" min="10" max="10"/>
    <col width="25" customWidth="1" min="11" max="11"/>
  </cols>
  <sheetData>
    <row r="1" ht="24" customHeight="1">
      <c r="A1" s="1" t="inlineStr">
        <is>
          <t>What-If Final Grade Simulator &amp; Academic Target Solver</t>
        </is>
      </c>
      <c r="I1" s="9">
        <f>HYPERLINK("#'Dashboard &amp; GPA'!A1", "⬅ Back to Dashboard")</f>
        <v/>
      </c>
      <c r="J1" s="9" t="n"/>
      <c r="K1" s="9" t="n"/>
    </row>
    <row r="2" ht="18" customHeight="1">
      <c r="A2" s="2" t="inlineStr">
        <is>
          <t>Simulate required scores on uncompleted assignments, midterms, and final exams to achieve desired target letter grades</t>
        </is>
      </c>
    </row>
    <row r="3" ht="20" customHeight="1">
      <c r="A3" s="3" t="inlineStr">
        <is>
          <t>💡 TARGET SOLVER: Change your Target Letter Grade in Column G (blue shaded cells) to see the exact average needed on remaining coursework.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8" customHeight="1"/>
    <row r="5" ht="16" customHeight="1">
      <c r="A5" s="4" t="inlineStr">
        <is>
          <t>CURRENT GPA</t>
        </is>
      </c>
      <c r="B5" s="4" t="n"/>
      <c r="C5" s="4" t="inlineStr">
        <is>
          <t>PROJECTED GPA</t>
        </is>
      </c>
      <c r="D5" s="4" t="n"/>
      <c r="E5" s="4" t="inlineStr">
        <is>
          <t>TARGET ACHIEVABLE</t>
        </is>
      </c>
      <c r="F5" s="4" t="n"/>
      <c r="G5" s="4" t="inlineStr">
        <is>
          <t>CHALLENGING COURSES</t>
        </is>
      </c>
      <c r="H5" s="4" t="n"/>
      <c r="I5" s="4" t="inlineStr">
        <is>
          <t>CRITICAL WATCH</t>
        </is>
      </c>
      <c r="J5" s="4" t="n"/>
    </row>
    <row r="6" ht="26" customHeight="1">
      <c r="A6" s="5">
        <f>'Dashboard &amp; GPA'!A6</f>
        <v/>
      </c>
      <c r="B6" s="5" t="n"/>
      <c r="C6" s="5">
        <f>'Dashboard &amp; GPA'!C6</f>
        <v/>
      </c>
      <c r="D6" s="5" t="n"/>
      <c r="E6" s="43">
        <f>COUNTIF(K11:K16, "*Achievable*")</f>
        <v/>
      </c>
      <c r="F6" s="43" t="n"/>
      <c r="G6" s="43">
        <f>COUNTIF(K11:K16, "*Challenging*")</f>
        <v/>
      </c>
      <c r="H6" s="43" t="n"/>
      <c r="I6" s="43">
        <f>COUNTIF(K11:K16, "*Impossible*")</f>
        <v/>
      </c>
      <c r="J6" s="43" t="n"/>
    </row>
    <row r="7" ht="16" customHeight="1">
      <c r="A7" s="8" t="inlineStr">
        <is>
          <t>Based on completed work</t>
        </is>
      </c>
      <c r="B7" s="8" t="n"/>
      <c r="C7" s="8" t="inlineStr">
        <is>
          <t>At current performance pace</t>
        </is>
      </c>
      <c r="D7" s="8" t="n"/>
      <c r="E7" s="8" t="inlineStr">
        <is>
          <t>Courses within reach</t>
        </is>
      </c>
      <c r="F7" s="8" t="n"/>
      <c r="G7" s="8" t="inlineStr">
        <is>
          <t>Requires &gt;=85% on remainder</t>
        </is>
      </c>
      <c r="H7" s="8" t="n"/>
      <c r="I7" s="8" t="inlineStr">
        <is>
          <t>Statistically Out of Reach</t>
        </is>
      </c>
      <c r="J7" s="8" t="n"/>
    </row>
    <row r="8" ht="8" customHeight="1"/>
    <row r="9" ht="20" customHeight="1"/>
    <row r="10" ht="26" customHeight="1">
      <c r="A10" s="9" t="inlineStr">
        <is>
          <t>Course Code</t>
        </is>
      </c>
      <c r="B10" s="10" t="inlineStr">
        <is>
          <t>Course Title</t>
        </is>
      </c>
      <c r="C10" s="9" t="inlineStr">
        <is>
          <t>Credits</t>
        </is>
      </c>
      <c r="D10" s="9" t="inlineStr">
        <is>
          <t>Completed %</t>
        </is>
      </c>
      <c r="E10" s="9" t="inlineStr">
        <is>
          <t>Earned Weight %</t>
        </is>
      </c>
      <c r="F10" s="9" t="inlineStr">
        <is>
          <t>Current Avg %</t>
        </is>
      </c>
      <c r="G10" s="9" t="inlineStr">
        <is>
          <t>Target Grade ✍️</t>
        </is>
      </c>
      <c r="H10" s="9" t="inlineStr">
        <is>
          <t>Target %</t>
        </is>
      </c>
      <c r="I10" s="9" t="inlineStr">
        <is>
          <t>Remaining Weight %</t>
        </is>
      </c>
      <c r="J10" s="9" t="inlineStr">
        <is>
          <t>Required % on Remainder</t>
        </is>
      </c>
      <c r="K10" s="9" t="inlineStr">
        <is>
          <t>Feasibility Assessment</t>
        </is>
      </c>
    </row>
    <row r="11" ht="22" customHeight="1">
      <c r="A11" s="11">
        <f>HYPERLINK("#'CSN305'!A1", "CSN305")</f>
        <v/>
      </c>
      <c r="B11" s="12" t="inlineStr">
        <is>
          <t>Virtualization and Cloud Infrastructure</t>
        </is>
      </c>
      <c r="C11" s="51" t="n">
        <v>3</v>
      </c>
      <c r="D11" s="15">
        <f>'CSN305'!A6</f>
        <v/>
      </c>
      <c r="E11" s="65">
        <f>'CSN305'!C6</f>
        <v/>
      </c>
      <c r="F11" s="16">
        <f>IF('CSN305'!A6&gt;0, 'CSN305'!E6, "--")</f>
        <v/>
      </c>
      <c r="G11" s="66" t="inlineStr">
        <is>
          <t>A</t>
        </is>
      </c>
      <c r="H11" s="16">
        <f>IF(G11="A+", 0.90, IF(G11="A", 0.80, IF(G11="B+", 0.75, IF(G11="B", 0.70, IF(G11="C+", 0.65, IF(G11="C", 0.60, IF(G11="D+", 0.55, IF(G11="D", 0.50, 0.50))))))))</f>
        <v/>
      </c>
      <c r="I11" s="15">
        <f>1.0-D11</f>
        <v/>
      </c>
      <c r="J11" s="16">
        <f>IF(I11&lt;=0, "Finished", (H11-E11)/I11)</f>
        <v/>
      </c>
      <c r="K11" s="17">
        <f>IF(I11&lt;=0, "Course Completed", IF(J11&lt;=0, "✅ Secured", IF(J11&gt;1.0, "❌ Impossible (&gt;100%)", IF(J11&gt;=0.85, "⚠️ Challenging (&gt;=85%)", "✅ Achievable"))))</f>
        <v/>
      </c>
    </row>
    <row r="12" ht="22" customHeight="1">
      <c r="A12" s="19">
        <f>HYPERLINK("#'DAT330'!A1", "DAT330")</f>
        <v/>
      </c>
      <c r="B12" s="20" t="inlineStr">
        <is>
          <t>Introduction to Databases</t>
        </is>
      </c>
      <c r="C12" s="57" t="n">
        <v>3</v>
      </c>
      <c r="D12" s="23">
        <f>'DAT330'!A6</f>
        <v/>
      </c>
      <c r="E12" s="67">
        <f>'DAT330'!C6</f>
        <v/>
      </c>
      <c r="F12" s="24">
        <f>IF('DAT330'!A6&gt;0, 'DAT330'!E6, "--")</f>
        <v/>
      </c>
      <c r="G12" s="66" t="inlineStr">
        <is>
          <t>A</t>
        </is>
      </c>
      <c r="H12" s="24">
        <f>IF(G12="A+", 0.90, IF(G12="A", 0.80, IF(G12="B+", 0.75, IF(G12="B", 0.70, IF(G12="C+", 0.65, IF(G12="C", 0.60, IF(G12="D+", 0.55, IF(G12="D", 0.50, 0.50))))))))</f>
        <v/>
      </c>
      <c r="I12" s="23">
        <f>1.0-D12</f>
        <v/>
      </c>
      <c r="J12" s="24">
        <f>IF(I12&lt;=0, "Finished", (H12-E12)/I12)</f>
        <v/>
      </c>
      <c r="K12" s="25">
        <f>IF(I12&lt;=0, "Course Completed", IF(J12&lt;=0, "✅ Secured", IF(J12&gt;1.0, "❌ Impossible (&gt;100%)", IF(J12&gt;=0.85, "⚠️ Challenging (&gt;=85%)", "✅ Achievable"))))</f>
        <v/>
      </c>
    </row>
    <row r="13" ht="22" customHeight="1">
      <c r="A13" s="11">
        <f>HYPERLINK("#'MST300'!A1", "MST300")</f>
        <v/>
      </c>
      <c r="B13" s="12" t="inlineStr">
        <is>
          <t>Introduction to Microsoft Cloud Technologies</t>
        </is>
      </c>
      <c r="C13" s="51" t="n">
        <v>3</v>
      </c>
      <c r="D13" s="15">
        <f>'MST300'!A6</f>
        <v/>
      </c>
      <c r="E13" s="65">
        <f>'MST300'!C6</f>
        <v/>
      </c>
      <c r="F13" s="16">
        <f>IF('MST300'!A6&gt;0, 'MST300'!E6, "--")</f>
        <v/>
      </c>
      <c r="G13" s="66" t="inlineStr">
        <is>
          <t>A</t>
        </is>
      </c>
      <c r="H13" s="16">
        <f>IF(G13="A+", 0.90, IF(G13="A", 0.80, IF(G13="B+", 0.75, IF(G13="B", 0.70, IF(G13="C+", 0.65, IF(G13="C", 0.60, IF(G13="D+", 0.55, IF(G13="D", 0.50, 0.50))))))))</f>
        <v/>
      </c>
      <c r="I13" s="15">
        <f>1.0-D13</f>
        <v/>
      </c>
      <c r="J13" s="16">
        <f>IF(I13&lt;=0, "Finished", (H13-E13)/I13)</f>
        <v/>
      </c>
      <c r="K13" s="17">
        <f>IF(I13&lt;=0, "Course Completed", IF(J13&lt;=0, "✅ Secured", IF(J13&gt;1.0, "❌ Impossible (&gt;100%)", IF(J13&gt;=0.85, "⚠️ Challenging (&gt;=85%)", "✅ Achievable"))))</f>
        <v/>
      </c>
    </row>
    <row r="14" ht="22" customHeight="1">
      <c r="A14" s="19">
        <f>HYPERLINK("#'PSY262'!A1", "PSY262")</f>
        <v/>
      </c>
      <c r="B14" s="20" t="inlineStr">
        <is>
          <t>Applied Psychology of Mindfulness</t>
        </is>
      </c>
      <c r="C14" s="57" t="n">
        <v>3</v>
      </c>
      <c r="D14" s="23">
        <f>'PSY262'!A6</f>
        <v/>
      </c>
      <c r="E14" s="67">
        <f>'PSY262'!C6</f>
        <v/>
      </c>
      <c r="F14" s="24">
        <f>IF('PSY262'!A6&gt;0, 'PSY262'!E6, "--")</f>
        <v/>
      </c>
      <c r="G14" s="66" t="inlineStr">
        <is>
          <t>A</t>
        </is>
      </c>
      <c r="H14" s="24">
        <f>IF(G14="A+", 0.90, IF(G14="A", 0.80, IF(G14="B+", 0.75, IF(G14="B", 0.70, IF(G14="C+", 0.65, IF(G14="C", 0.60, IF(G14="D+", 0.55, IF(G14="D", 0.50, 0.50))))))))</f>
        <v/>
      </c>
      <c r="I14" s="23">
        <f>1.0-D14</f>
        <v/>
      </c>
      <c r="J14" s="24">
        <f>IF(I14&lt;=0, "Finished", (H14-E14)/I14)</f>
        <v/>
      </c>
      <c r="K14" s="25">
        <f>IF(I14&lt;=0, "Course Completed", IF(J14&lt;=0, "✅ Secured", IF(J14&gt;1.0, "❌ Impossible (&gt;100%)", IF(J14&gt;=0.85, "⚠️ Challenging (&gt;=85%)", "✅ Achievable"))))</f>
        <v/>
      </c>
    </row>
    <row r="15" ht="22" customHeight="1">
      <c r="A15" s="11">
        <f>HYPERLINK("#'SEC320'!A1", "SEC320")</f>
        <v/>
      </c>
      <c r="B15" s="12" t="inlineStr">
        <is>
          <t>Incident Response and Computer Forensics</t>
        </is>
      </c>
      <c r="C15" s="51" t="n">
        <v>3</v>
      </c>
      <c r="D15" s="15">
        <f>'SEC320'!A6</f>
        <v/>
      </c>
      <c r="E15" s="65">
        <f>'SEC320'!C6</f>
        <v/>
      </c>
      <c r="F15" s="16">
        <f>IF('SEC320'!A6&gt;0, 'SEC320'!E6, "--")</f>
        <v/>
      </c>
      <c r="G15" s="66" t="inlineStr">
        <is>
          <t>A</t>
        </is>
      </c>
      <c r="H15" s="16">
        <f>IF(G15="A+", 0.90, IF(G15="A", 0.80, IF(G15="B+", 0.75, IF(G15="B", 0.70, IF(G15="C+", 0.65, IF(G15="C", 0.60, IF(G15="D+", 0.55, IF(G15="D", 0.50, 0.50))))))))</f>
        <v/>
      </c>
      <c r="I15" s="15">
        <f>1.0-D15</f>
        <v/>
      </c>
      <c r="J15" s="16">
        <f>IF(I15&lt;=0, "Finished", (H15-E15)/I15)</f>
        <v/>
      </c>
      <c r="K15" s="17">
        <f>IF(I15&lt;=0, "Course Completed", IF(J15&lt;=0, "✅ Secured", IF(J15&gt;1.0, "❌ Impossible (&gt;100%)", IF(J15&gt;=0.85, "⚠️ Challenging (&gt;=85%)", "✅ Achievable"))))</f>
        <v/>
      </c>
    </row>
    <row r="16" ht="22" customHeight="1">
      <c r="A16" s="19">
        <f>HYPERLINK("#'OPS345'!A1", "OPS345")</f>
        <v/>
      </c>
      <c r="B16" s="20" t="inlineStr">
        <is>
          <t>Open System Application Server</t>
        </is>
      </c>
      <c r="C16" s="57" t="n">
        <v>3</v>
      </c>
      <c r="D16" s="23">
        <f>'OPS345'!A6</f>
        <v/>
      </c>
      <c r="E16" s="67">
        <f>'OPS345'!C6</f>
        <v/>
      </c>
      <c r="F16" s="24">
        <f>IF('OPS345'!A6&gt;0, 'OPS345'!E6, "--")</f>
        <v/>
      </c>
      <c r="G16" s="66" t="inlineStr">
        <is>
          <t>A</t>
        </is>
      </c>
      <c r="H16" s="24">
        <f>IF(G16="A+", 0.90, IF(G16="A", 0.80, IF(G16="B+", 0.75, IF(G16="B", 0.70, IF(G16="C+", 0.65, IF(G16="C", 0.60, IF(G16="D+", 0.55, IF(G16="D", 0.50, 0.50))))))))</f>
        <v/>
      </c>
      <c r="I16" s="23">
        <f>1.0-D16</f>
        <v/>
      </c>
      <c r="J16" s="24">
        <f>IF(I16&lt;=0, "Finished", (H16-E16)/I16)</f>
        <v/>
      </c>
      <c r="K16" s="25">
        <f>IF(I16&lt;=0, "Course Completed", IF(J16&lt;=0, "✅ Secured", IF(J16&gt;1.0, "❌ Impossible (&gt;100%)", IF(J16&gt;=0.85, "⚠️ Challenging (&gt;=85%)", "✅ Achievable"))))</f>
        <v/>
      </c>
    </row>
  </sheetData>
  <mergeCells count="19">
    <mergeCell ref="C6:D6"/>
    <mergeCell ref="I6:J6"/>
    <mergeCell ref="C5:D5"/>
    <mergeCell ref="E5:F5"/>
    <mergeCell ref="A1:H1"/>
    <mergeCell ref="A6:B6"/>
    <mergeCell ref="A7:B7"/>
    <mergeCell ref="G7:H7"/>
    <mergeCell ref="I7:J7"/>
    <mergeCell ref="I1:K1"/>
    <mergeCell ref="G6:H6"/>
    <mergeCell ref="E6:F6"/>
    <mergeCell ref="A3:K3"/>
    <mergeCell ref="A5:B5"/>
    <mergeCell ref="A2:K2"/>
    <mergeCell ref="G5:H5"/>
    <mergeCell ref="I5:J5"/>
    <mergeCell ref="C7:D7"/>
    <mergeCell ref="E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22" customWidth="1" min="4" max="4"/>
    <col width="21" customWidth="1" min="5" max="5"/>
    <col width="17" customWidth="1" min="6" max="6"/>
    <col width="13" customWidth="1" min="7" max="7"/>
  </cols>
  <sheetData>
    <row r="1" ht="24" customHeight="1">
      <c r="A1" s="1" t="inlineStr">
        <is>
          <t>Semester 3 Deliverables Chronological Timeline &amp; Milestone Tracker</t>
        </is>
      </c>
      <c r="F1" s="9">
        <f>HYPERLINK("#'Dashboard &amp; GPA'!A1", "⬅ Back to Dashboard")</f>
        <v/>
      </c>
      <c r="G1" s="9" t="n"/>
    </row>
    <row r="2" ht="18" customHeight="1">
      <c r="A2" s="2" t="inlineStr">
        <is>
          <t>Master schedule of 110+ assignments, lab exercises, quizzes, midterms, and final exams sorted chronologically</t>
        </is>
      </c>
    </row>
    <row r="3" ht="20" customHeight="1">
      <c r="A3" s="3" t="inlineStr">
        <is>
          <t>💡 JUMP TO COURSE: Click 'Open Sheet ➔' on any deliverable to navigate directly to that course sheet.</t>
        </is>
      </c>
      <c r="B3" s="3" t="n"/>
      <c r="C3" s="3" t="n"/>
      <c r="D3" s="3" t="n"/>
      <c r="E3" s="3" t="n"/>
      <c r="F3" s="3" t="n"/>
      <c r="G3" s="3" t="n"/>
    </row>
    <row r="4" ht="8" customHeight="1"/>
    <row r="5" ht="26" customHeight="1">
      <c r="A5" s="9" t="inlineStr">
        <is>
          <t>Course</t>
        </is>
      </c>
      <c r="B5" s="10" t="inlineStr">
        <is>
          <t>Assessment Deliverable</t>
        </is>
      </c>
      <c r="C5" s="10" t="inlineStr">
        <is>
          <t>Evaluation Category</t>
        </is>
      </c>
      <c r="D5" s="9" t="inlineStr">
        <is>
          <t>Weight %</t>
        </is>
      </c>
      <c r="E5" s="9" t="inlineStr">
        <is>
          <t>Scheduled Due Date</t>
        </is>
      </c>
      <c r="F5" s="9" t="inlineStr">
        <is>
          <t>Current Status</t>
        </is>
      </c>
      <c r="G5" s="9" t="inlineStr">
        <is>
          <t>Quick Link</t>
        </is>
      </c>
    </row>
    <row r="6" ht="20" customHeight="1">
      <c r="A6" s="25" t="inlineStr">
        <is>
          <t>WTP100</t>
        </is>
      </c>
      <c r="B6" s="22" t="inlineStr">
        <is>
          <t>Module 1</t>
        </is>
      </c>
      <c r="C6" s="54" t="inlineStr">
        <is>
          <t>Modules &amp; Knowledge Checks</t>
        </is>
      </c>
      <c r="D6" s="23" t="n">
        <v>0.07139999999999999</v>
      </c>
      <c r="E6" s="57" t="inlineStr">
        <is>
          <t>2026-9-11</t>
        </is>
      </c>
      <c r="F6" s="63" t="inlineStr">
        <is>
          <t>Done</t>
        </is>
      </c>
      <c r="G6" s="19">
        <f>HYPERLINK("#'WTP100'!A1", "Open Sheet ➔")</f>
        <v/>
      </c>
    </row>
    <row r="7" ht="20" customHeight="1">
      <c r="A7" s="17" t="inlineStr">
        <is>
          <t>WTP100</t>
        </is>
      </c>
      <c r="B7" s="14" t="inlineStr">
        <is>
          <t>Module 2</t>
        </is>
      </c>
      <c r="C7" s="47" t="inlineStr">
        <is>
          <t>Modules &amp; Knowledge Checks</t>
        </is>
      </c>
      <c r="D7" s="15" t="n">
        <v>0.07139999999999999</v>
      </c>
      <c r="E7" s="51" t="inlineStr">
        <is>
          <t>2026-9-11</t>
        </is>
      </c>
      <c r="F7" s="63" t="inlineStr">
        <is>
          <t>Done</t>
        </is>
      </c>
      <c r="G7" s="11">
        <f>HYPERLINK("#'WTP100'!A1", "Open Sheet ➔")</f>
        <v/>
      </c>
    </row>
    <row r="8" ht="20" customHeight="1">
      <c r="A8" s="25" t="inlineStr">
        <is>
          <t>WTP100</t>
        </is>
      </c>
      <c r="B8" s="22" t="inlineStr">
        <is>
          <t>Module 3</t>
        </is>
      </c>
      <c r="C8" s="54" t="inlineStr">
        <is>
          <t>Modules &amp; Knowledge Checks</t>
        </is>
      </c>
      <c r="D8" s="23" t="n">
        <v>0.07139999999999999</v>
      </c>
      <c r="E8" s="57" t="inlineStr">
        <is>
          <t>2026-9-11</t>
        </is>
      </c>
      <c r="F8" s="64" t="inlineStr">
        <is>
          <t>In Progress</t>
        </is>
      </c>
      <c r="G8" s="19">
        <f>HYPERLINK("#'WTP100'!A1", "Open Sheet ➔")</f>
        <v/>
      </c>
    </row>
    <row r="9" ht="20" customHeight="1">
      <c r="A9" s="17" t="inlineStr">
        <is>
          <t>WTP100</t>
        </is>
      </c>
      <c r="B9" s="14" t="inlineStr">
        <is>
          <t>Module 10</t>
        </is>
      </c>
      <c r="C9" s="47" t="inlineStr">
        <is>
          <t>Modules &amp; Knowledge Checks</t>
        </is>
      </c>
      <c r="D9" s="15" t="n">
        <v>0.07139999999999999</v>
      </c>
      <c r="E9" s="51" t="inlineStr">
        <is>
          <t>2026-9-11</t>
        </is>
      </c>
      <c r="F9" s="63" t="inlineStr">
        <is>
          <t>Done</t>
        </is>
      </c>
      <c r="G9" s="11">
        <f>HYPERLINK("#'WTP100'!A1", "Open Sheet ➔")</f>
        <v/>
      </c>
    </row>
    <row r="10" ht="20" customHeight="1">
      <c r="A10" s="25" t="inlineStr">
        <is>
          <t>WTP100</t>
        </is>
      </c>
      <c r="B10" s="22" t="inlineStr">
        <is>
          <t>Module 11</t>
        </is>
      </c>
      <c r="C10" s="54" t="inlineStr">
        <is>
          <t>Modules &amp; Knowledge Checks</t>
        </is>
      </c>
      <c r="D10" s="23" t="n">
        <v>0.07139999999999999</v>
      </c>
      <c r="E10" s="57" t="inlineStr">
        <is>
          <t>2026-9-11</t>
        </is>
      </c>
      <c r="F10" s="63" t="inlineStr">
        <is>
          <t>Done</t>
        </is>
      </c>
      <c r="G10" s="19">
        <f>HYPERLINK("#'WTP100'!A1", "Open Sheet ➔")</f>
        <v/>
      </c>
    </row>
    <row r="11" ht="20" customHeight="1">
      <c r="A11" s="17" t="inlineStr">
        <is>
          <t>WTP100</t>
        </is>
      </c>
      <c r="B11" s="14" t="inlineStr">
        <is>
          <t>Module 12</t>
        </is>
      </c>
      <c r="C11" s="47" t="inlineStr">
        <is>
          <t>Modules &amp; Knowledge Checks</t>
        </is>
      </c>
      <c r="D11" s="15" t="n">
        <v>0.07139999999999999</v>
      </c>
      <c r="E11" s="51" t="inlineStr">
        <is>
          <t>2026-9-11</t>
        </is>
      </c>
      <c r="F11" s="63" t="inlineStr">
        <is>
          <t>Done</t>
        </is>
      </c>
      <c r="G11" s="11">
        <f>HYPERLINK("#'WTP100'!A1", "Open Sheet ➔")</f>
        <v/>
      </c>
    </row>
    <row r="12" ht="20" customHeight="1">
      <c r="A12" s="25" t="inlineStr">
        <is>
          <t>WTP100</t>
        </is>
      </c>
      <c r="B12" s="22" t="inlineStr">
        <is>
          <t>Module 13</t>
        </is>
      </c>
      <c r="C12" s="54" t="inlineStr">
        <is>
          <t>Modules &amp; Knowledge Checks</t>
        </is>
      </c>
      <c r="D12" s="23" t="n">
        <v>0.07139999999999999</v>
      </c>
      <c r="E12" s="57" t="inlineStr">
        <is>
          <t>2026-9-11</t>
        </is>
      </c>
      <c r="F12" s="63" t="inlineStr">
        <is>
          <t>Done</t>
        </is>
      </c>
      <c r="G12" s="19">
        <f>HYPERLINK("#'WTP100'!A1", "Open Sheet ➔")</f>
        <v/>
      </c>
    </row>
    <row r="13" ht="20" customHeight="1">
      <c r="A13" s="17" t="inlineStr">
        <is>
          <t>WTP100</t>
        </is>
      </c>
      <c r="B13" s="14" t="inlineStr">
        <is>
          <t>Module 14</t>
        </is>
      </c>
      <c r="C13" s="47" t="inlineStr">
        <is>
          <t>Modules &amp; Knowledge Checks</t>
        </is>
      </c>
      <c r="D13" s="15" t="n">
        <v>0.07180000000000007</v>
      </c>
      <c r="E13" s="51" t="inlineStr">
        <is>
          <t>2026-9-11</t>
        </is>
      </c>
      <c r="F13" s="63" t="inlineStr">
        <is>
          <t>Done</t>
        </is>
      </c>
      <c r="G13" s="11">
        <f>HYPERLINK("#'WTP100'!A1", "Open Sheet ➔")</f>
        <v/>
      </c>
    </row>
    <row r="14" ht="20" customHeight="1">
      <c r="A14" s="25" t="inlineStr">
        <is>
          <t>CSN305</t>
        </is>
      </c>
      <c r="B14" s="22" t="inlineStr">
        <is>
          <t>Lab 1</t>
        </is>
      </c>
      <c r="C14" s="54" t="inlineStr">
        <is>
          <t>Labs</t>
        </is>
      </c>
      <c r="D14" s="23" t="n">
        <v>0.04</v>
      </c>
      <c r="E14" s="57" t="inlineStr">
        <is>
          <t>2026-09-17</t>
        </is>
      </c>
      <c r="F14" s="52" t="inlineStr">
        <is>
          <t>Not Started</t>
        </is>
      </c>
      <c r="G14" s="19">
        <f>HYPERLINK("#'CSN305'!A1", "Open Sheet ➔")</f>
        <v/>
      </c>
    </row>
    <row r="15" ht="20" customHeight="1">
      <c r="A15" s="17" t="inlineStr">
        <is>
          <t>CSN305</t>
        </is>
      </c>
      <c r="B15" s="14" t="inlineStr">
        <is>
          <t>Lab 10</t>
        </is>
      </c>
      <c r="C15" s="47" t="inlineStr">
        <is>
          <t>Labs</t>
        </is>
      </c>
      <c r="D15" s="15" t="n">
        <v>0.04</v>
      </c>
      <c r="E15" s="51" t="inlineStr">
        <is>
          <t>2026-09-17</t>
        </is>
      </c>
      <c r="F15" s="52" t="inlineStr">
        <is>
          <t>Not Started</t>
        </is>
      </c>
      <c r="G15" s="11">
        <f>HYPERLINK("#'CSN305'!A1", "Open Sheet ➔")</f>
        <v/>
      </c>
    </row>
    <row r="16" ht="20" customHeight="1">
      <c r="A16" s="25" t="inlineStr">
        <is>
          <t>DAT330</t>
        </is>
      </c>
      <c r="B16" s="22" t="inlineStr">
        <is>
          <t>Lab 1</t>
        </is>
      </c>
      <c r="C16" s="54" t="inlineStr">
        <is>
          <t>Labs</t>
        </is>
      </c>
      <c r="D16" s="23" t="n">
        <v>0.025</v>
      </c>
      <c r="E16" s="57" t="inlineStr">
        <is>
          <t>2026-09-17</t>
        </is>
      </c>
      <c r="F16" s="63" t="inlineStr">
        <is>
          <t>Done</t>
        </is>
      </c>
      <c r="G16" s="19">
        <f>HYPERLINK("#'DAT330'!A1", "Open Sheet ➔")</f>
        <v/>
      </c>
    </row>
    <row r="17" ht="20" customHeight="1">
      <c r="A17" s="17" t="inlineStr">
        <is>
          <t>PSY262</t>
        </is>
      </c>
      <c r="B17" s="14" t="inlineStr">
        <is>
          <t>Assignment 1</t>
        </is>
      </c>
      <c r="C17" s="47" t="inlineStr">
        <is>
          <t>In-Class Assignments</t>
        </is>
      </c>
      <c r="D17" s="15" t="n">
        <v>0.025</v>
      </c>
      <c r="E17" s="51" t="inlineStr">
        <is>
          <t>2026-9-18</t>
        </is>
      </c>
      <c r="F17" s="52" t="inlineStr">
        <is>
          <t>Not Started</t>
        </is>
      </c>
      <c r="G17" s="11">
        <f>HYPERLINK("#'PSY262'!A1", "Open Sheet ➔")</f>
        <v/>
      </c>
    </row>
    <row r="18" ht="20" customHeight="1">
      <c r="A18" s="25" t="inlineStr">
        <is>
          <t>PSY262</t>
        </is>
      </c>
      <c r="B18" s="22" t="inlineStr">
        <is>
          <t>Assignment 2</t>
        </is>
      </c>
      <c r="C18" s="54" t="inlineStr">
        <is>
          <t>In-Class Assignments</t>
        </is>
      </c>
      <c r="D18" s="23" t="n">
        <v>0.025</v>
      </c>
      <c r="E18" s="57" t="inlineStr">
        <is>
          <t>2026-9-18</t>
        </is>
      </c>
      <c r="F18" s="52" t="inlineStr">
        <is>
          <t>Not Started</t>
        </is>
      </c>
      <c r="G18" s="19">
        <f>HYPERLINK("#'PSY262'!A1", "Open Sheet ➔")</f>
        <v/>
      </c>
    </row>
    <row r="19" ht="20" customHeight="1">
      <c r="A19" s="17" t="inlineStr">
        <is>
          <t>PSY262</t>
        </is>
      </c>
      <c r="B19" s="14" t="inlineStr">
        <is>
          <t>Assignment 10</t>
        </is>
      </c>
      <c r="C19" s="47" t="inlineStr">
        <is>
          <t>In-Class Assignments</t>
        </is>
      </c>
      <c r="D19" s="15" t="n">
        <v>0.025</v>
      </c>
      <c r="E19" s="51" t="inlineStr">
        <is>
          <t>2026-9-18</t>
        </is>
      </c>
      <c r="F19" s="52" t="inlineStr">
        <is>
          <t>Not Started</t>
        </is>
      </c>
      <c r="G19" s="11">
        <f>HYPERLINK("#'PSY262'!A1", "Open Sheet ➔")</f>
        <v/>
      </c>
    </row>
    <row r="20" ht="20" customHeight="1">
      <c r="A20" s="25" t="inlineStr">
        <is>
          <t>SEC320</t>
        </is>
      </c>
      <c r="B20" s="22" t="inlineStr">
        <is>
          <t>Lab 1</t>
        </is>
      </c>
      <c r="C20" s="54" t="inlineStr">
        <is>
          <t>Labs</t>
        </is>
      </c>
      <c r="D20" s="23" t="n">
        <v>0.04</v>
      </c>
      <c r="E20" s="57" t="inlineStr">
        <is>
          <t>2026-9-18</t>
        </is>
      </c>
      <c r="F20" s="52" t="inlineStr">
        <is>
          <t>Not Started</t>
        </is>
      </c>
      <c r="G20" s="19">
        <f>HYPERLINK("#'SEC320'!A1", "Open Sheet ➔")</f>
        <v/>
      </c>
    </row>
    <row r="21" ht="20" customHeight="1">
      <c r="A21" s="17" t="inlineStr">
        <is>
          <t>SEC320</t>
        </is>
      </c>
      <c r="B21" s="14" t="inlineStr">
        <is>
          <t>Lab 10</t>
        </is>
      </c>
      <c r="C21" s="47" t="inlineStr">
        <is>
          <t>Labs</t>
        </is>
      </c>
      <c r="D21" s="15" t="n">
        <v>0.04</v>
      </c>
      <c r="E21" s="51" t="inlineStr">
        <is>
          <t>2026-9-18</t>
        </is>
      </c>
      <c r="F21" s="52" t="inlineStr">
        <is>
          <t>Not Started</t>
        </is>
      </c>
      <c r="G21" s="11">
        <f>HYPERLINK("#'SEC320'!A1", "Open Sheet ➔")</f>
        <v/>
      </c>
    </row>
    <row r="22" ht="20" customHeight="1">
      <c r="A22" s="25" t="inlineStr">
        <is>
          <t>WTP100</t>
        </is>
      </c>
      <c r="B22" s="22" t="inlineStr">
        <is>
          <t>Module 4</t>
        </is>
      </c>
      <c r="C22" s="54" t="inlineStr">
        <is>
          <t>Modules &amp; Knowledge Checks</t>
        </is>
      </c>
      <c r="D22" s="23" t="n">
        <v>0.07139999999999999</v>
      </c>
      <c r="E22" s="57" t="inlineStr">
        <is>
          <t>2026-9-18</t>
        </is>
      </c>
      <c r="F22" s="52" t="inlineStr">
        <is>
          <t>Not Started</t>
        </is>
      </c>
      <c r="G22" s="19">
        <f>HYPERLINK("#'WTP100'!A1", "Open Sheet ➔")</f>
        <v/>
      </c>
    </row>
    <row r="23" ht="20" customHeight="1">
      <c r="A23" s="17" t="inlineStr">
        <is>
          <t>WTP100</t>
        </is>
      </c>
      <c r="B23" s="14" t="inlineStr">
        <is>
          <t>Module 5</t>
        </is>
      </c>
      <c r="C23" s="47" t="inlineStr">
        <is>
          <t>Modules &amp; Knowledge Checks</t>
        </is>
      </c>
      <c r="D23" s="15" t="n">
        <v>0.07139999999999999</v>
      </c>
      <c r="E23" s="51" t="inlineStr">
        <is>
          <t>2026-9-18</t>
        </is>
      </c>
      <c r="F23" s="52" t="inlineStr">
        <is>
          <t>Not Started</t>
        </is>
      </c>
      <c r="G23" s="11">
        <f>HYPERLINK("#'WTP100'!A1", "Open Sheet ➔")</f>
        <v/>
      </c>
    </row>
    <row r="24" ht="20" customHeight="1">
      <c r="A24" s="25" t="inlineStr">
        <is>
          <t>DAT330</t>
        </is>
      </c>
      <c r="B24" s="22" t="inlineStr">
        <is>
          <t>Quiz 1</t>
        </is>
      </c>
      <c r="C24" s="54" t="inlineStr">
        <is>
          <t>Quizzes</t>
        </is>
      </c>
      <c r="D24" s="23" t="n">
        <v>0.02</v>
      </c>
      <c r="E24" s="57" t="inlineStr">
        <is>
          <t>2026-09-21</t>
        </is>
      </c>
      <c r="F24" s="52" t="inlineStr">
        <is>
          <t>Not Started</t>
        </is>
      </c>
      <c r="G24" s="19">
        <f>HYPERLINK("#'DAT330'!A1", "Open Sheet ➔")</f>
        <v/>
      </c>
    </row>
    <row r="25" ht="20" customHeight="1">
      <c r="A25" s="17" t="inlineStr">
        <is>
          <t>MST300</t>
        </is>
      </c>
      <c r="B25" s="14" t="inlineStr">
        <is>
          <t>Quiz 1</t>
        </is>
      </c>
      <c r="C25" s="47" t="inlineStr">
        <is>
          <t>Quizzes</t>
        </is>
      </c>
      <c r="D25" s="15" t="n">
        <v>0.025</v>
      </c>
      <c r="E25" s="51" t="inlineStr">
        <is>
          <t>2026-9-22</t>
        </is>
      </c>
      <c r="F25" s="52" t="inlineStr">
        <is>
          <t>Not Started</t>
        </is>
      </c>
      <c r="G25" s="11">
        <f>HYPERLINK("#'MST300'!A1", "Open Sheet ➔")</f>
        <v/>
      </c>
    </row>
    <row r="26" ht="20" customHeight="1">
      <c r="A26" s="25" t="inlineStr">
        <is>
          <t>CSN305</t>
        </is>
      </c>
      <c r="B26" s="22" t="inlineStr">
        <is>
          <t>Lab 2</t>
        </is>
      </c>
      <c r="C26" s="54" t="inlineStr">
        <is>
          <t>Labs</t>
        </is>
      </c>
      <c r="D26" s="23" t="n">
        <v>0.04</v>
      </c>
      <c r="E26" s="57" t="inlineStr">
        <is>
          <t>2026-09-24</t>
        </is>
      </c>
      <c r="F26" s="52" t="inlineStr">
        <is>
          <t>Not Started</t>
        </is>
      </c>
      <c r="G26" s="19">
        <f>HYPERLINK("#'CSN305'!A1", "Open Sheet ➔")</f>
        <v/>
      </c>
    </row>
    <row r="27" ht="20" customHeight="1">
      <c r="A27" s="17" t="inlineStr">
        <is>
          <t>DAT330</t>
        </is>
      </c>
      <c r="B27" s="14" t="inlineStr">
        <is>
          <t>Lab 2</t>
        </is>
      </c>
      <c r="C27" s="47" t="inlineStr">
        <is>
          <t>Labs</t>
        </is>
      </c>
      <c r="D27" s="15" t="n">
        <v>0.025</v>
      </c>
      <c r="E27" s="51" t="inlineStr">
        <is>
          <t>2026-09-24</t>
        </is>
      </c>
      <c r="F27" s="52" t="inlineStr">
        <is>
          <t>Not Started</t>
        </is>
      </c>
      <c r="G27" s="11">
        <f>HYPERLINK("#'DAT330'!A1", "Open Sheet ➔")</f>
        <v/>
      </c>
    </row>
    <row r="28" ht="20" customHeight="1">
      <c r="A28" s="25" t="inlineStr">
        <is>
          <t>PSY262</t>
        </is>
      </c>
      <c r="B28" s="22" t="inlineStr">
        <is>
          <t>Assignment 3</t>
        </is>
      </c>
      <c r="C28" s="54" t="inlineStr">
        <is>
          <t>In-Class Assignments</t>
        </is>
      </c>
      <c r="D28" s="23" t="n">
        <v>0.025</v>
      </c>
      <c r="E28" s="57" t="inlineStr">
        <is>
          <t>2026-9-25</t>
        </is>
      </c>
      <c r="F28" s="52" t="inlineStr">
        <is>
          <t>Not Started</t>
        </is>
      </c>
      <c r="G28" s="19">
        <f>HYPERLINK("#'PSY262'!A1", "Open Sheet ➔")</f>
        <v/>
      </c>
    </row>
    <row r="29" ht="20" customHeight="1">
      <c r="A29" s="17" t="inlineStr">
        <is>
          <t>SEC320</t>
        </is>
      </c>
      <c r="B29" s="14" t="inlineStr">
        <is>
          <t>Lab 2</t>
        </is>
      </c>
      <c r="C29" s="47" t="inlineStr">
        <is>
          <t>Labs</t>
        </is>
      </c>
      <c r="D29" s="15" t="n">
        <v>0.04</v>
      </c>
      <c r="E29" s="51" t="inlineStr">
        <is>
          <t>2026-9-25</t>
        </is>
      </c>
      <c r="F29" s="52" t="inlineStr">
        <is>
          <t>Not Started</t>
        </is>
      </c>
      <c r="G29" s="11">
        <f>HYPERLINK("#'SEC320'!A1", "Open Sheet ➔")</f>
        <v/>
      </c>
    </row>
    <row r="30" ht="20" customHeight="1">
      <c r="A30" s="25" t="inlineStr">
        <is>
          <t>WTP100</t>
        </is>
      </c>
      <c r="B30" s="22" t="inlineStr">
        <is>
          <t>Module 6</t>
        </is>
      </c>
      <c r="C30" s="54" t="inlineStr">
        <is>
          <t>Modules &amp; Knowledge Checks</t>
        </is>
      </c>
      <c r="D30" s="23" t="n">
        <v>0.07139999999999999</v>
      </c>
      <c r="E30" s="57" t="inlineStr">
        <is>
          <t>2026-9-25</t>
        </is>
      </c>
      <c r="F30" s="52" t="inlineStr">
        <is>
          <t>Not Started</t>
        </is>
      </c>
      <c r="G30" s="19">
        <f>HYPERLINK("#'WTP100'!A1", "Open Sheet ➔")</f>
        <v/>
      </c>
    </row>
    <row r="31" ht="20" customHeight="1">
      <c r="A31" s="17" t="inlineStr">
        <is>
          <t>WTP100</t>
        </is>
      </c>
      <c r="B31" s="14" t="inlineStr">
        <is>
          <t>Module 7</t>
        </is>
      </c>
      <c r="C31" s="47" t="inlineStr">
        <is>
          <t>Modules &amp; Knowledge Checks</t>
        </is>
      </c>
      <c r="D31" s="15" t="n">
        <v>0.07139999999999999</v>
      </c>
      <c r="E31" s="51" t="inlineStr">
        <is>
          <t>2026-9-25</t>
        </is>
      </c>
      <c r="F31" s="52" t="inlineStr">
        <is>
          <t>Not Started</t>
        </is>
      </c>
      <c r="G31" s="11">
        <f>HYPERLINK("#'WTP100'!A1", "Open Sheet ➔")</f>
        <v/>
      </c>
    </row>
    <row r="32" ht="20" customHeight="1">
      <c r="A32" s="25" t="inlineStr">
        <is>
          <t>DAT330</t>
        </is>
      </c>
      <c r="B32" s="22" t="inlineStr">
        <is>
          <t>Quiz 2</t>
        </is>
      </c>
      <c r="C32" s="54" t="inlineStr">
        <is>
          <t>Quizzes</t>
        </is>
      </c>
      <c r="D32" s="23" t="n">
        <v>0.02</v>
      </c>
      <c r="E32" s="57" t="inlineStr">
        <is>
          <t>2026-09-28</t>
        </is>
      </c>
      <c r="F32" s="52" t="inlineStr">
        <is>
          <t>Not Started</t>
        </is>
      </c>
      <c r="G32" s="19">
        <f>HYPERLINK("#'DAT330'!A1", "Open Sheet ➔")</f>
        <v/>
      </c>
    </row>
    <row r="33" ht="20" customHeight="1">
      <c r="A33" s="17" t="inlineStr">
        <is>
          <t>CSN305</t>
        </is>
      </c>
      <c r="B33" s="14" t="inlineStr">
        <is>
          <t>Lab 3</t>
        </is>
      </c>
      <c r="C33" s="47" t="inlineStr">
        <is>
          <t>Labs</t>
        </is>
      </c>
      <c r="D33" s="15" t="n">
        <v>0.04</v>
      </c>
      <c r="E33" s="51" t="inlineStr">
        <is>
          <t>2026-10-01</t>
        </is>
      </c>
      <c r="F33" s="52" t="inlineStr">
        <is>
          <t>Not Started</t>
        </is>
      </c>
      <c r="G33" s="11">
        <f>HYPERLINK("#'CSN305'!A1", "Open Sheet ➔")</f>
        <v/>
      </c>
    </row>
    <row r="34" ht="20" customHeight="1">
      <c r="A34" s="25" t="inlineStr">
        <is>
          <t>CSN305</t>
        </is>
      </c>
      <c r="B34" s="22" t="inlineStr">
        <is>
          <t>Test 1</t>
        </is>
      </c>
      <c r="C34" s="54" t="inlineStr">
        <is>
          <t>Tests</t>
        </is>
      </c>
      <c r="D34" s="23" t="n">
        <v>0.15</v>
      </c>
      <c r="E34" s="57" t="inlineStr">
        <is>
          <t>2026-10-01</t>
        </is>
      </c>
      <c r="F34" s="52" t="inlineStr">
        <is>
          <t>Not Started</t>
        </is>
      </c>
      <c r="G34" s="19">
        <f>HYPERLINK("#'CSN305'!A1", "Open Sheet ➔")</f>
        <v/>
      </c>
    </row>
    <row r="35" ht="20" customHeight="1">
      <c r="A35" s="17" t="inlineStr">
        <is>
          <t>DAT330</t>
        </is>
      </c>
      <c r="B35" s="14" t="inlineStr">
        <is>
          <t>Assignment 1</t>
        </is>
      </c>
      <c r="C35" s="47" t="inlineStr">
        <is>
          <t>Assignments</t>
        </is>
      </c>
      <c r="D35" s="15" t="n">
        <v>0.05</v>
      </c>
      <c r="E35" s="51" t="inlineStr">
        <is>
          <t>2026-10-01</t>
        </is>
      </c>
      <c r="F35" s="52" t="inlineStr">
        <is>
          <t>Not Started</t>
        </is>
      </c>
      <c r="G35" s="11">
        <f>HYPERLINK("#'DAT330'!A1", "Open Sheet ➔")</f>
        <v/>
      </c>
    </row>
    <row r="36" ht="20" customHeight="1">
      <c r="A36" s="25" t="inlineStr">
        <is>
          <t>PSY262</t>
        </is>
      </c>
      <c r="B36" s="22" t="inlineStr">
        <is>
          <t>Assignment 4</t>
        </is>
      </c>
      <c r="C36" s="54" t="inlineStr">
        <is>
          <t>In-Class Assignments</t>
        </is>
      </c>
      <c r="D36" s="23" t="n">
        <v>0.025</v>
      </c>
      <c r="E36" s="57" t="inlineStr">
        <is>
          <t>2026-10-02</t>
        </is>
      </c>
      <c r="F36" s="52" t="inlineStr">
        <is>
          <t>Not Started</t>
        </is>
      </c>
      <c r="G36" s="19">
        <f>HYPERLINK("#'PSY262'!A1", "Open Sheet ➔")</f>
        <v/>
      </c>
    </row>
    <row r="37" ht="20" customHeight="1">
      <c r="A37" s="17" t="inlineStr">
        <is>
          <t>PSY262</t>
        </is>
      </c>
      <c r="B37" s="14" t="inlineStr">
        <is>
          <t>Quiz 1</t>
        </is>
      </c>
      <c r="C37" s="47" t="inlineStr">
        <is>
          <t>Quiz 1</t>
        </is>
      </c>
      <c r="D37" s="15" t="n">
        <v>0.2</v>
      </c>
      <c r="E37" s="51" t="inlineStr">
        <is>
          <t>2026-10-02</t>
        </is>
      </c>
      <c r="F37" s="52" t="inlineStr">
        <is>
          <t>Not Started</t>
        </is>
      </c>
      <c r="G37" s="11">
        <f>HYPERLINK("#'PSY262'!A1", "Open Sheet ➔")</f>
        <v/>
      </c>
    </row>
    <row r="38" ht="20" customHeight="1">
      <c r="A38" s="25" t="inlineStr">
        <is>
          <t>SEC320</t>
        </is>
      </c>
      <c r="B38" s="22" t="inlineStr">
        <is>
          <t>Lab 3</t>
        </is>
      </c>
      <c r="C38" s="54" t="inlineStr">
        <is>
          <t>Labs</t>
        </is>
      </c>
      <c r="D38" s="23" t="n">
        <v>0.04</v>
      </c>
      <c r="E38" s="57" t="inlineStr">
        <is>
          <t>2026-10-2</t>
        </is>
      </c>
      <c r="F38" s="52" t="inlineStr">
        <is>
          <t>Not Started</t>
        </is>
      </c>
      <c r="G38" s="19">
        <f>HYPERLINK("#'SEC320'!A1", "Open Sheet ➔")</f>
        <v/>
      </c>
    </row>
    <row r="39" ht="20" customHeight="1">
      <c r="A39" s="17" t="inlineStr">
        <is>
          <t>WTP100</t>
        </is>
      </c>
      <c r="B39" s="14" t="inlineStr">
        <is>
          <t>Module 8</t>
        </is>
      </c>
      <c r="C39" s="47" t="inlineStr">
        <is>
          <t>Modules &amp; Knowledge Checks</t>
        </is>
      </c>
      <c r="D39" s="15" t="n">
        <v>0.07139999999999999</v>
      </c>
      <c r="E39" s="51" t="inlineStr">
        <is>
          <t>2026-10-02</t>
        </is>
      </c>
      <c r="F39" s="52" t="inlineStr">
        <is>
          <t>Not Started</t>
        </is>
      </c>
      <c r="G39" s="11">
        <f>HYPERLINK("#'WTP100'!A1", "Open Sheet ➔")</f>
        <v/>
      </c>
    </row>
    <row r="40" ht="20" customHeight="1">
      <c r="A40" s="25" t="inlineStr">
        <is>
          <t>WTP100</t>
        </is>
      </c>
      <c r="B40" s="22" t="inlineStr">
        <is>
          <t>Module 9</t>
        </is>
      </c>
      <c r="C40" s="54" t="inlineStr">
        <is>
          <t>Modules &amp; Knowledge Checks</t>
        </is>
      </c>
      <c r="D40" s="23" t="n">
        <v>0.07139999999999999</v>
      </c>
      <c r="E40" s="57" t="inlineStr">
        <is>
          <t>2026-10-02</t>
        </is>
      </c>
      <c r="F40" s="52" t="inlineStr">
        <is>
          <t>Not Started</t>
        </is>
      </c>
      <c r="G40" s="19">
        <f>HYPERLINK("#'WTP100'!A1", "Open Sheet ➔")</f>
        <v/>
      </c>
    </row>
    <row r="41" ht="20" customHeight="1">
      <c r="A41" s="17" t="inlineStr">
        <is>
          <t>MST300</t>
        </is>
      </c>
      <c r="B41" s="14" t="inlineStr">
        <is>
          <t>Lab 2</t>
        </is>
      </c>
      <c r="C41" s="47" t="inlineStr">
        <is>
          <t>Labs</t>
        </is>
      </c>
      <c r="D41" s="15" t="n">
        <v>0.0333</v>
      </c>
      <c r="E41" s="51" t="inlineStr">
        <is>
          <t>2026-10-6</t>
        </is>
      </c>
      <c r="F41" s="52" t="inlineStr">
        <is>
          <t>Not Started</t>
        </is>
      </c>
      <c r="G41" s="11">
        <f>HYPERLINK("#'MST300'!A1", "Open Sheet ➔")</f>
        <v/>
      </c>
    </row>
    <row r="42" ht="20" customHeight="1">
      <c r="A42" s="25" t="inlineStr">
        <is>
          <t>MST300</t>
        </is>
      </c>
      <c r="B42" s="22" t="inlineStr">
        <is>
          <t>Lab 3</t>
        </is>
      </c>
      <c r="C42" s="54" t="inlineStr">
        <is>
          <t>Labs</t>
        </is>
      </c>
      <c r="D42" s="23" t="n">
        <v>0.0333</v>
      </c>
      <c r="E42" s="57" t="inlineStr">
        <is>
          <t>2026-10-6</t>
        </is>
      </c>
      <c r="F42" s="52" t="inlineStr">
        <is>
          <t>Not Started</t>
        </is>
      </c>
      <c r="G42" s="19">
        <f>HYPERLINK("#'MST300'!A1", "Open Sheet ➔")</f>
        <v/>
      </c>
    </row>
    <row r="43" ht="20" customHeight="1">
      <c r="A43" s="17" t="inlineStr">
        <is>
          <t>MST300</t>
        </is>
      </c>
      <c r="B43" s="14" t="inlineStr">
        <is>
          <t>Lab 4</t>
        </is>
      </c>
      <c r="C43" s="47" t="inlineStr">
        <is>
          <t>Labs</t>
        </is>
      </c>
      <c r="D43" s="15" t="n">
        <v>0.0333</v>
      </c>
      <c r="E43" s="51" t="inlineStr">
        <is>
          <t>2026-10-6</t>
        </is>
      </c>
      <c r="F43" s="52" t="inlineStr">
        <is>
          <t>Not Started</t>
        </is>
      </c>
      <c r="G43" s="11">
        <f>HYPERLINK("#'MST300'!A1", "Open Sheet ➔")</f>
        <v/>
      </c>
    </row>
    <row r="44" ht="20" customHeight="1">
      <c r="A44" s="25" t="inlineStr">
        <is>
          <t>MST300</t>
        </is>
      </c>
      <c r="B44" s="22" t="inlineStr">
        <is>
          <t>Lab 5</t>
        </is>
      </c>
      <c r="C44" s="54" t="inlineStr">
        <is>
          <t>Labs</t>
        </is>
      </c>
      <c r="D44" s="23" t="n">
        <v>0.0333</v>
      </c>
      <c r="E44" s="57" t="inlineStr">
        <is>
          <t>2026-10-6</t>
        </is>
      </c>
      <c r="F44" s="52" t="inlineStr">
        <is>
          <t>Not Started</t>
        </is>
      </c>
      <c r="G44" s="19">
        <f>HYPERLINK("#'MST300'!A1", "Open Sheet ➔")</f>
        <v/>
      </c>
    </row>
    <row r="45" ht="20" customHeight="1">
      <c r="A45" s="17" t="inlineStr">
        <is>
          <t>MST300</t>
        </is>
      </c>
      <c r="B45" s="14" t="inlineStr">
        <is>
          <t>Lab 6</t>
        </is>
      </c>
      <c r="C45" s="47" t="inlineStr">
        <is>
          <t>Labs</t>
        </is>
      </c>
      <c r="D45" s="15" t="n">
        <v>0.0335</v>
      </c>
      <c r="E45" s="51" t="inlineStr">
        <is>
          <t>2026-10-6</t>
        </is>
      </c>
      <c r="F45" s="52" t="inlineStr">
        <is>
          <t>Not Started</t>
        </is>
      </c>
      <c r="G45" s="11">
        <f>HYPERLINK("#'MST300'!A1", "Open Sheet ➔")</f>
        <v/>
      </c>
    </row>
    <row r="46" ht="20" customHeight="1">
      <c r="A46" s="25" t="inlineStr">
        <is>
          <t>MST300</t>
        </is>
      </c>
      <c r="B46" s="22" t="inlineStr">
        <is>
          <t>Quiz 2</t>
        </is>
      </c>
      <c r="C46" s="54" t="inlineStr">
        <is>
          <t>Quizzes</t>
        </is>
      </c>
      <c r="D46" s="23" t="n">
        <v>0.025</v>
      </c>
      <c r="E46" s="57" t="inlineStr">
        <is>
          <t>2026-10-06</t>
        </is>
      </c>
      <c r="F46" s="52" t="inlineStr">
        <is>
          <t>Not Started</t>
        </is>
      </c>
      <c r="G46" s="19">
        <f>HYPERLINK("#'MST300'!A1", "Open Sheet ➔")</f>
        <v/>
      </c>
    </row>
    <row r="47" ht="20" customHeight="1">
      <c r="A47" s="17" t="inlineStr">
        <is>
          <t>CSN305</t>
        </is>
      </c>
      <c r="B47" s="14" t="inlineStr">
        <is>
          <t>Lab 4</t>
        </is>
      </c>
      <c r="C47" s="47" t="inlineStr">
        <is>
          <t>Labs</t>
        </is>
      </c>
      <c r="D47" s="15" t="n">
        <v>0.04</v>
      </c>
      <c r="E47" s="51" t="inlineStr">
        <is>
          <t>2026-10-08</t>
        </is>
      </c>
      <c r="F47" s="52" t="inlineStr">
        <is>
          <t>Not Started</t>
        </is>
      </c>
      <c r="G47" s="11">
        <f>HYPERLINK("#'CSN305'!A1", "Open Sheet ➔")</f>
        <v/>
      </c>
    </row>
    <row r="48" ht="20" customHeight="1">
      <c r="A48" s="25" t="inlineStr">
        <is>
          <t>DAT330</t>
        </is>
      </c>
      <c r="B48" s="22" t="inlineStr">
        <is>
          <t>Lab 3</t>
        </is>
      </c>
      <c r="C48" s="54" t="inlineStr">
        <is>
          <t>Labs</t>
        </is>
      </c>
      <c r="D48" s="23" t="n">
        <v>0.025</v>
      </c>
      <c r="E48" s="57" t="inlineStr">
        <is>
          <t>2026-10-08</t>
        </is>
      </c>
      <c r="F48" s="52" t="inlineStr">
        <is>
          <t>Not Started</t>
        </is>
      </c>
      <c r="G48" s="19">
        <f>HYPERLINK("#'DAT330'!A1", "Open Sheet ➔")</f>
        <v/>
      </c>
    </row>
    <row r="49" ht="20" customHeight="1">
      <c r="A49" s="17" t="inlineStr">
        <is>
          <t>PSY262</t>
        </is>
      </c>
      <c r="B49" s="14" t="inlineStr">
        <is>
          <t>Assignment 5</t>
        </is>
      </c>
      <c r="C49" s="47" t="inlineStr">
        <is>
          <t>In-Class Assignments</t>
        </is>
      </c>
      <c r="D49" s="15" t="n">
        <v>0.025</v>
      </c>
      <c r="E49" s="51" t="inlineStr">
        <is>
          <t>2026-10-09</t>
        </is>
      </c>
      <c r="F49" s="52" t="inlineStr">
        <is>
          <t>Not Started</t>
        </is>
      </c>
      <c r="G49" s="11">
        <f>HYPERLINK("#'PSY262'!A1", "Open Sheet ➔")</f>
        <v/>
      </c>
    </row>
    <row r="50" ht="20" customHeight="1">
      <c r="A50" s="25" t="inlineStr">
        <is>
          <t>PSY262</t>
        </is>
      </c>
      <c r="B50" s="22" t="inlineStr">
        <is>
          <t>Assignment 6</t>
        </is>
      </c>
      <c r="C50" s="54" t="inlineStr">
        <is>
          <t>In-Class Assignments</t>
        </is>
      </c>
      <c r="D50" s="23" t="n">
        <v>0.025</v>
      </c>
      <c r="E50" s="57" t="inlineStr">
        <is>
          <t>2026-10-09</t>
        </is>
      </c>
      <c r="F50" s="52" t="inlineStr">
        <is>
          <t>Not Started</t>
        </is>
      </c>
      <c r="G50" s="19">
        <f>HYPERLINK("#'PSY262'!A1", "Open Sheet ➔")</f>
        <v/>
      </c>
    </row>
    <row r="51" ht="20" customHeight="1">
      <c r="A51" s="17" t="inlineStr">
        <is>
          <t>SEC320</t>
        </is>
      </c>
      <c r="B51" s="14" t="inlineStr">
        <is>
          <t>Lab 4</t>
        </is>
      </c>
      <c r="C51" s="47" t="inlineStr">
        <is>
          <t>Labs</t>
        </is>
      </c>
      <c r="D51" s="15" t="n">
        <v>0.04</v>
      </c>
      <c r="E51" s="51" t="inlineStr">
        <is>
          <t>2026-10-09</t>
        </is>
      </c>
      <c r="F51" s="52" t="inlineStr">
        <is>
          <t>Not Started</t>
        </is>
      </c>
      <c r="G51" s="11">
        <f>HYPERLINK("#'SEC320'!A1", "Open Sheet ➔")</f>
        <v/>
      </c>
    </row>
    <row r="52" ht="20" customHeight="1">
      <c r="A52" s="25" t="inlineStr">
        <is>
          <t>MST300</t>
        </is>
      </c>
      <c r="B52" s="22" t="inlineStr">
        <is>
          <t>Lab 1</t>
        </is>
      </c>
      <c r="C52" s="54" t="inlineStr">
        <is>
          <t>Labs</t>
        </is>
      </c>
      <c r="D52" s="23" t="n">
        <v>0.0333</v>
      </c>
      <c r="E52" s="57" t="inlineStr">
        <is>
          <t>2026-10-13</t>
        </is>
      </c>
      <c r="F52" s="52" t="inlineStr">
        <is>
          <t>Not Started</t>
        </is>
      </c>
      <c r="G52" s="19">
        <f>HYPERLINK("#'MST300'!A1", "Open Sheet ➔")</f>
        <v/>
      </c>
    </row>
    <row r="53" ht="20" customHeight="1">
      <c r="A53" s="17" t="inlineStr">
        <is>
          <t>MST300</t>
        </is>
      </c>
      <c r="B53" s="14" t="inlineStr">
        <is>
          <t>Quiz 3</t>
        </is>
      </c>
      <c r="C53" s="47" t="inlineStr">
        <is>
          <t>Quizzes</t>
        </is>
      </c>
      <c r="D53" s="15" t="n">
        <v>0.025</v>
      </c>
      <c r="E53" s="51" t="inlineStr">
        <is>
          <t>2026-10-13</t>
        </is>
      </c>
      <c r="F53" s="52" t="inlineStr">
        <is>
          <t>Not Started</t>
        </is>
      </c>
      <c r="G53" s="11">
        <f>HYPERLINK("#'MST300'!A1", "Open Sheet ➔")</f>
        <v/>
      </c>
    </row>
    <row r="54" ht="20" customHeight="1">
      <c r="A54" s="25" t="inlineStr">
        <is>
          <t>CSN305</t>
        </is>
      </c>
      <c r="B54" s="22" t="inlineStr">
        <is>
          <t>Lab 5</t>
        </is>
      </c>
      <c r="C54" s="54" t="inlineStr">
        <is>
          <t>Labs</t>
        </is>
      </c>
      <c r="D54" s="23" t="n">
        <v>0.04</v>
      </c>
      <c r="E54" s="57" t="inlineStr">
        <is>
          <t>2026-10-15</t>
        </is>
      </c>
      <c r="F54" s="52" t="inlineStr">
        <is>
          <t>Not Started</t>
        </is>
      </c>
      <c r="G54" s="19">
        <f>HYPERLINK("#'CSN305'!A1", "Open Sheet ➔")</f>
        <v/>
      </c>
    </row>
    <row r="55" ht="20" customHeight="1">
      <c r="A55" s="17" t="inlineStr">
        <is>
          <t>DAT330</t>
        </is>
      </c>
      <c r="B55" s="14" t="inlineStr">
        <is>
          <t>Lab 4</t>
        </is>
      </c>
      <c r="C55" s="47" t="inlineStr">
        <is>
          <t>Labs</t>
        </is>
      </c>
      <c r="D55" s="15" t="n">
        <v>0.025</v>
      </c>
      <c r="E55" s="51" t="inlineStr">
        <is>
          <t>2026-10-15</t>
        </is>
      </c>
      <c r="F55" s="52" t="inlineStr">
        <is>
          <t>Not Started</t>
        </is>
      </c>
      <c r="G55" s="11">
        <f>HYPERLINK("#'DAT330'!A1", "Open Sheet ➔")</f>
        <v/>
      </c>
    </row>
    <row r="56" ht="20" customHeight="1">
      <c r="A56" s="25" t="inlineStr">
        <is>
          <t>PSY262</t>
        </is>
      </c>
      <c r="B56" s="22" t="inlineStr">
        <is>
          <t>Assignment 7</t>
        </is>
      </c>
      <c r="C56" s="54" t="inlineStr">
        <is>
          <t>In-Class Assignments</t>
        </is>
      </c>
      <c r="D56" s="23" t="n">
        <v>0.025</v>
      </c>
      <c r="E56" s="57" t="inlineStr">
        <is>
          <t>2026-10-16</t>
        </is>
      </c>
      <c r="F56" s="52" t="inlineStr">
        <is>
          <t>Not Started</t>
        </is>
      </c>
      <c r="G56" s="19">
        <f>HYPERLINK("#'PSY262'!A1", "Open Sheet ➔")</f>
        <v/>
      </c>
    </row>
    <row r="57" ht="20" customHeight="1">
      <c r="A57" s="17" t="inlineStr">
        <is>
          <t>SEC320</t>
        </is>
      </c>
      <c r="B57" s="14" t="inlineStr">
        <is>
          <t>Lab 5</t>
        </is>
      </c>
      <c r="C57" s="47" t="inlineStr">
        <is>
          <t>Labs</t>
        </is>
      </c>
      <c r="D57" s="15" t="n">
        <v>0.04</v>
      </c>
      <c r="E57" s="51" t="inlineStr">
        <is>
          <t>2026-10-16</t>
        </is>
      </c>
      <c r="F57" s="52" t="inlineStr">
        <is>
          <t>Not Started</t>
        </is>
      </c>
      <c r="G57" s="11">
        <f>HYPERLINK("#'SEC320'!A1", "Open Sheet ➔")</f>
        <v/>
      </c>
    </row>
    <row r="58" ht="20" customHeight="1">
      <c r="A58" s="25" t="inlineStr">
        <is>
          <t>DAT330</t>
        </is>
      </c>
      <c r="B58" s="22" t="inlineStr">
        <is>
          <t>Midterm Test</t>
        </is>
      </c>
      <c r="C58" s="54" t="inlineStr">
        <is>
          <t>Midterm Test</t>
        </is>
      </c>
      <c r="D58" s="23" t="n">
        <v>0.15</v>
      </c>
      <c r="E58" s="57" t="inlineStr">
        <is>
          <t>2026-10-19</t>
        </is>
      </c>
      <c r="F58" s="52" t="inlineStr">
        <is>
          <t>Not Started</t>
        </is>
      </c>
      <c r="G58" s="19">
        <f>HYPERLINK("#'DAT330'!A1", "Open Sheet ➔")</f>
        <v/>
      </c>
    </row>
    <row r="59" ht="20" customHeight="1">
      <c r="A59" s="17" t="inlineStr">
        <is>
          <t>OPS345</t>
        </is>
      </c>
      <c r="B59" s="14" t="inlineStr">
        <is>
          <t>Midterm Test</t>
        </is>
      </c>
      <c r="C59" s="47" t="inlineStr">
        <is>
          <t>Midterm Test</t>
        </is>
      </c>
      <c r="D59" s="15" t="n">
        <v>0.25</v>
      </c>
      <c r="E59" s="51" t="inlineStr">
        <is>
          <t>2026-10-21</t>
        </is>
      </c>
      <c r="F59" s="52" t="inlineStr">
        <is>
          <t>Not Started</t>
        </is>
      </c>
      <c r="G59" s="11">
        <f>HYPERLINK("#'OPS345'!A1", "Open Sheet ➔")</f>
        <v/>
      </c>
    </row>
    <row r="60" ht="20" customHeight="1">
      <c r="A60" s="25" t="inlineStr">
        <is>
          <t>CSN305</t>
        </is>
      </c>
      <c r="B60" s="22" t="inlineStr">
        <is>
          <t>Lab 6</t>
        </is>
      </c>
      <c r="C60" s="54" t="inlineStr">
        <is>
          <t>Labs</t>
        </is>
      </c>
      <c r="D60" s="23" t="n">
        <v>0.04</v>
      </c>
      <c r="E60" s="57" t="inlineStr">
        <is>
          <t>2026-10-22</t>
        </is>
      </c>
      <c r="F60" s="52" t="inlineStr">
        <is>
          <t>Not Started</t>
        </is>
      </c>
      <c r="G60" s="19">
        <f>HYPERLINK("#'CSN305'!A1", "Open Sheet ➔")</f>
        <v/>
      </c>
    </row>
    <row r="61" ht="20" customHeight="1">
      <c r="A61" s="17" t="inlineStr">
        <is>
          <t>CSN305</t>
        </is>
      </c>
      <c r="B61" s="14" t="inlineStr">
        <is>
          <t>Test 2</t>
        </is>
      </c>
      <c r="C61" s="47" t="inlineStr">
        <is>
          <t>Tests</t>
        </is>
      </c>
      <c r="D61" s="15" t="n">
        <v>0.15</v>
      </c>
      <c r="E61" s="51" t="inlineStr">
        <is>
          <t>2026-10-22</t>
        </is>
      </c>
      <c r="F61" s="52" t="inlineStr">
        <is>
          <t>Not Started</t>
        </is>
      </c>
      <c r="G61" s="11">
        <f>HYPERLINK("#'CSN305'!A1", "Open Sheet ➔")</f>
        <v/>
      </c>
    </row>
    <row r="62" ht="20" customHeight="1">
      <c r="A62" s="25" t="inlineStr">
        <is>
          <t>DAT330</t>
        </is>
      </c>
      <c r="B62" s="22" t="inlineStr">
        <is>
          <t>Assignment 2</t>
        </is>
      </c>
      <c r="C62" s="54" t="inlineStr">
        <is>
          <t>Assignments</t>
        </is>
      </c>
      <c r="D62" s="23" t="n">
        <v>0.05</v>
      </c>
      <c r="E62" s="57" t="inlineStr">
        <is>
          <t>2026-10-22</t>
        </is>
      </c>
      <c r="F62" s="52" t="inlineStr">
        <is>
          <t>Not Started</t>
        </is>
      </c>
      <c r="G62" s="19">
        <f>HYPERLINK("#'DAT330'!A1", "Open Sheet ➔")</f>
        <v/>
      </c>
    </row>
    <row r="63" ht="20" customHeight="1">
      <c r="A63" s="17" t="inlineStr">
        <is>
          <t>PSY262</t>
        </is>
      </c>
      <c r="B63" s="14" t="inlineStr">
        <is>
          <t>Assignment 8</t>
        </is>
      </c>
      <c r="C63" s="47" t="inlineStr">
        <is>
          <t>In-Class Assignments</t>
        </is>
      </c>
      <c r="D63" s="15" t="n">
        <v>0.025</v>
      </c>
      <c r="E63" s="51" t="inlineStr">
        <is>
          <t>2026-10-23</t>
        </is>
      </c>
      <c r="F63" s="52" t="inlineStr">
        <is>
          <t>Not Started</t>
        </is>
      </c>
      <c r="G63" s="11">
        <f>HYPERLINK("#'PSY262'!A1", "Open Sheet ➔")</f>
        <v/>
      </c>
    </row>
    <row r="64" ht="20" customHeight="1">
      <c r="A64" s="25" t="inlineStr">
        <is>
          <t>PSY262</t>
        </is>
      </c>
      <c r="B64" s="22" t="inlineStr">
        <is>
          <t>Assignment 9</t>
        </is>
      </c>
      <c r="C64" s="54" t="inlineStr">
        <is>
          <t>In-Class Assignments</t>
        </is>
      </c>
      <c r="D64" s="23" t="n">
        <v>0.025</v>
      </c>
      <c r="E64" s="57" t="inlineStr">
        <is>
          <t>2026-10-23</t>
        </is>
      </c>
      <c r="F64" s="52" t="inlineStr">
        <is>
          <t>Not Started</t>
        </is>
      </c>
      <c r="G64" s="19">
        <f>HYPERLINK("#'PSY262'!A1", "Open Sheet ➔")</f>
        <v/>
      </c>
    </row>
    <row r="65" ht="20" customHeight="1">
      <c r="A65" s="17" t="inlineStr">
        <is>
          <t>SEC320</t>
        </is>
      </c>
      <c r="B65" s="14" t="inlineStr">
        <is>
          <t>Project Proposal</t>
        </is>
      </c>
      <c r="C65" s="47" t="inlineStr">
        <is>
          <t>Final Project</t>
        </is>
      </c>
      <c r="D65" s="15" t="n">
        <v>0.05</v>
      </c>
      <c r="E65" s="51" t="inlineStr">
        <is>
          <t>2026-10-23</t>
        </is>
      </c>
      <c r="F65" s="52" t="inlineStr">
        <is>
          <t>Not Started</t>
        </is>
      </c>
      <c r="G65" s="11">
        <f>HYPERLINK("#'SEC320'!A1", "Open Sheet ➔")</f>
        <v/>
      </c>
    </row>
    <row r="66" ht="20" customHeight="1">
      <c r="A66" s="25" t="inlineStr">
        <is>
          <t>OPS345</t>
        </is>
      </c>
      <c r="B66" s="22" t="inlineStr">
        <is>
          <t>Lab 1</t>
        </is>
      </c>
      <c r="C66" s="54" t="inlineStr">
        <is>
          <t>Labs</t>
        </is>
      </c>
      <c r="D66" s="23" t="n">
        <v>0.02</v>
      </c>
      <c r="E66" s="57" t="inlineStr">
        <is>
          <t>2026-10-23</t>
        </is>
      </c>
      <c r="F66" s="52" t="inlineStr">
        <is>
          <t>Not Started</t>
        </is>
      </c>
      <c r="G66" s="19">
        <f>HYPERLINK("#'OPS345'!A1", "Open Sheet ➔")</f>
        <v/>
      </c>
    </row>
    <row r="67" ht="20" customHeight="1">
      <c r="A67" s="17" t="inlineStr">
        <is>
          <t>OPS345</t>
        </is>
      </c>
      <c r="B67" s="14" t="inlineStr">
        <is>
          <t>Lab 2</t>
        </is>
      </c>
      <c r="C67" s="47" t="inlineStr">
        <is>
          <t>Labs</t>
        </is>
      </c>
      <c r="D67" s="15" t="n">
        <v>0.02</v>
      </c>
      <c r="E67" s="51" t="inlineStr">
        <is>
          <t>2026-10-23</t>
        </is>
      </c>
      <c r="F67" s="52" t="inlineStr">
        <is>
          <t>Not Started</t>
        </is>
      </c>
      <c r="G67" s="11">
        <f>HYPERLINK("#'OPS345'!A1", "Open Sheet ➔")</f>
        <v/>
      </c>
    </row>
    <row r="68" ht="20" customHeight="1">
      <c r="A68" s="25" t="inlineStr">
        <is>
          <t>OPS345</t>
        </is>
      </c>
      <c r="B68" s="22" t="inlineStr">
        <is>
          <t>Lab 3</t>
        </is>
      </c>
      <c r="C68" s="54" t="inlineStr">
        <is>
          <t>Labs</t>
        </is>
      </c>
      <c r="D68" s="23" t="n">
        <v>0.02</v>
      </c>
      <c r="E68" s="57" t="inlineStr">
        <is>
          <t>2026-10-23</t>
        </is>
      </c>
      <c r="F68" s="52" t="inlineStr">
        <is>
          <t>Not Started</t>
        </is>
      </c>
      <c r="G68" s="19">
        <f>HYPERLINK("#'OPS345'!A1", "Open Sheet ➔")</f>
        <v/>
      </c>
    </row>
    <row r="69" ht="20" customHeight="1">
      <c r="A69" s="17" t="inlineStr">
        <is>
          <t>OPS345</t>
        </is>
      </c>
      <c r="B69" s="14" t="inlineStr">
        <is>
          <t>Lab 4</t>
        </is>
      </c>
      <c r="C69" s="47" t="inlineStr">
        <is>
          <t>Labs</t>
        </is>
      </c>
      <c r="D69" s="15" t="n">
        <v>0.02</v>
      </c>
      <c r="E69" s="51" t="inlineStr">
        <is>
          <t>2026-10-23</t>
        </is>
      </c>
      <c r="F69" s="52" t="inlineStr">
        <is>
          <t>Not Started</t>
        </is>
      </c>
      <c r="G69" s="11">
        <f>HYPERLINK("#'OPS345'!A1", "Open Sheet ➔")</f>
        <v/>
      </c>
    </row>
    <row r="70" ht="20" customHeight="1">
      <c r="A70" s="25" t="inlineStr">
        <is>
          <t>MST300</t>
        </is>
      </c>
      <c r="B70" s="22" t="inlineStr">
        <is>
          <t>Project 1</t>
        </is>
      </c>
      <c r="C70" s="54" t="inlineStr">
        <is>
          <t>Projects</t>
        </is>
      </c>
      <c r="D70" s="23" t="n">
        <v>0.15</v>
      </c>
      <c r="E70" s="57" t="inlineStr">
        <is>
          <t>2026-11-03</t>
        </is>
      </c>
      <c r="F70" s="52" t="inlineStr">
        <is>
          <t>Not Started</t>
        </is>
      </c>
      <c r="G70" s="19">
        <f>HYPERLINK("#'MST300'!A1", "Open Sheet ➔")</f>
        <v/>
      </c>
    </row>
    <row r="71" ht="20" customHeight="1">
      <c r="A71" s="17" t="inlineStr">
        <is>
          <t>DAT330</t>
        </is>
      </c>
      <c r="B71" s="14" t="inlineStr">
        <is>
          <t>Lab 5</t>
        </is>
      </c>
      <c r="C71" s="47" t="inlineStr">
        <is>
          <t>Labs</t>
        </is>
      </c>
      <c r="D71" s="15" t="n">
        <v>0.025</v>
      </c>
      <c r="E71" s="51" t="inlineStr">
        <is>
          <t>2026-11-5</t>
        </is>
      </c>
      <c r="F71" s="52" t="inlineStr">
        <is>
          <t>Not Started</t>
        </is>
      </c>
      <c r="G71" s="11">
        <f>HYPERLINK("#'DAT330'!A1", "Open Sheet ➔")</f>
        <v/>
      </c>
    </row>
    <row r="72" ht="20" customHeight="1">
      <c r="A72" s="25" t="inlineStr">
        <is>
          <t>PSY262</t>
        </is>
      </c>
      <c r="B72" s="22" t="inlineStr">
        <is>
          <t>Quiz 2</t>
        </is>
      </c>
      <c r="C72" s="54" t="inlineStr">
        <is>
          <t>Quiz 2</t>
        </is>
      </c>
      <c r="D72" s="23" t="n">
        <v>0.2</v>
      </c>
      <c r="E72" s="57" t="inlineStr">
        <is>
          <t>2026-11-06</t>
        </is>
      </c>
      <c r="F72" s="52" t="inlineStr">
        <is>
          <t>Not Started</t>
        </is>
      </c>
      <c r="G72" s="19">
        <f>HYPERLINK("#'PSY262'!A1", "Open Sheet ➔")</f>
        <v/>
      </c>
    </row>
    <row r="73" ht="20" customHeight="1">
      <c r="A73" s="17" t="inlineStr">
        <is>
          <t>SEC320</t>
        </is>
      </c>
      <c r="B73" s="14" t="inlineStr">
        <is>
          <t>Lab 6</t>
        </is>
      </c>
      <c r="C73" s="47" t="inlineStr">
        <is>
          <t>Labs</t>
        </is>
      </c>
      <c r="D73" s="15" t="n">
        <v>0.04</v>
      </c>
      <c r="E73" s="51" t="inlineStr">
        <is>
          <t>2026-11-06</t>
        </is>
      </c>
      <c r="F73" s="52" t="inlineStr">
        <is>
          <t>Not Started</t>
        </is>
      </c>
      <c r="G73" s="11">
        <f>HYPERLINK("#'SEC320'!A1", "Open Sheet ➔")</f>
        <v/>
      </c>
    </row>
    <row r="74" ht="20" customHeight="1">
      <c r="A74" s="25" t="inlineStr">
        <is>
          <t>DAT330</t>
        </is>
      </c>
      <c r="B74" s="22" t="inlineStr">
        <is>
          <t>Quiz 3</t>
        </is>
      </c>
      <c r="C74" s="54" t="inlineStr">
        <is>
          <t>Quizzes</t>
        </is>
      </c>
      <c r="D74" s="23" t="n">
        <v>0.02</v>
      </c>
      <c r="E74" s="57" t="inlineStr">
        <is>
          <t>2026-11-09</t>
        </is>
      </c>
      <c r="F74" s="52" t="inlineStr">
        <is>
          <t>Not Started</t>
        </is>
      </c>
      <c r="G74" s="19">
        <f>HYPERLINK("#'DAT330'!A1", "Open Sheet ➔")</f>
        <v/>
      </c>
    </row>
    <row r="75" ht="20" customHeight="1">
      <c r="A75" s="17" t="inlineStr">
        <is>
          <t>MST300</t>
        </is>
      </c>
      <c r="B75" s="14" t="inlineStr">
        <is>
          <t>Quiz 4</t>
        </is>
      </c>
      <c r="C75" s="47" t="inlineStr">
        <is>
          <t>Quizzes</t>
        </is>
      </c>
      <c r="D75" s="15" t="n">
        <v>0.025</v>
      </c>
      <c r="E75" s="51" t="inlineStr">
        <is>
          <t>2026-11-10</t>
        </is>
      </c>
      <c r="F75" s="52" t="inlineStr">
        <is>
          <t>Not Started</t>
        </is>
      </c>
      <c r="G75" s="11">
        <f>HYPERLINK("#'MST300'!A1", "Open Sheet ➔")</f>
        <v/>
      </c>
    </row>
    <row r="76" ht="20" customHeight="1">
      <c r="A76" s="25" t="inlineStr">
        <is>
          <t>CSN305</t>
        </is>
      </c>
      <c r="B76" s="22" t="inlineStr">
        <is>
          <t>Lab 7</t>
        </is>
      </c>
      <c r="C76" s="54" t="inlineStr">
        <is>
          <t>Labs</t>
        </is>
      </c>
      <c r="D76" s="23" t="n">
        <v>0.04</v>
      </c>
      <c r="E76" s="57" t="inlineStr">
        <is>
          <t>2026-11-12</t>
        </is>
      </c>
      <c r="F76" s="52" t="inlineStr">
        <is>
          <t>Not Started</t>
        </is>
      </c>
      <c r="G76" s="19">
        <f>HYPERLINK("#'CSN305'!A1", "Open Sheet ➔")</f>
        <v/>
      </c>
    </row>
    <row r="77" ht="20" customHeight="1">
      <c r="A77" s="17" t="inlineStr">
        <is>
          <t>DAT330</t>
        </is>
      </c>
      <c r="B77" s="14" t="inlineStr">
        <is>
          <t>Lab 6</t>
        </is>
      </c>
      <c r="C77" s="47" t="inlineStr">
        <is>
          <t>Labs</t>
        </is>
      </c>
      <c r="D77" s="15" t="n">
        <v>0.025</v>
      </c>
      <c r="E77" s="51" t="inlineStr">
        <is>
          <t>2026-11-12</t>
        </is>
      </c>
      <c r="F77" s="52" t="inlineStr">
        <is>
          <t>Not Started</t>
        </is>
      </c>
      <c r="G77" s="11">
        <f>HYPERLINK("#'DAT330'!A1", "Open Sheet ➔")</f>
        <v/>
      </c>
    </row>
    <row r="78" ht="20" customHeight="1">
      <c r="A78" s="25" t="inlineStr">
        <is>
          <t>SEC320</t>
        </is>
      </c>
      <c r="B78" s="22" t="inlineStr">
        <is>
          <t>Lab 7</t>
        </is>
      </c>
      <c r="C78" s="54" t="inlineStr">
        <is>
          <t>Labs</t>
        </is>
      </c>
      <c r="D78" s="23" t="n">
        <v>0.04</v>
      </c>
      <c r="E78" s="57" t="inlineStr">
        <is>
          <t>2026-11-13</t>
        </is>
      </c>
      <c r="F78" s="52" t="inlineStr">
        <is>
          <t>Not Started</t>
        </is>
      </c>
      <c r="G78" s="19">
        <f>HYPERLINK("#'SEC320'!A1", "Open Sheet ➔")</f>
        <v/>
      </c>
    </row>
    <row r="79" ht="20" customHeight="1">
      <c r="A79" s="17" t="inlineStr">
        <is>
          <t>CSN305</t>
        </is>
      </c>
      <c r="B79" s="14" t="inlineStr">
        <is>
          <t>Lab 8</t>
        </is>
      </c>
      <c r="C79" s="47" t="inlineStr">
        <is>
          <t>Labs</t>
        </is>
      </c>
      <c r="D79" s="15" t="n">
        <v>0.04</v>
      </c>
      <c r="E79" s="51" t="inlineStr">
        <is>
          <t>2026-11-19</t>
        </is>
      </c>
      <c r="F79" s="52" t="inlineStr">
        <is>
          <t>Not Started</t>
        </is>
      </c>
      <c r="G79" s="11">
        <f>HYPERLINK("#'CSN305'!A1", "Open Sheet ➔")</f>
        <v/>
      </c>
    </row>
    <row r="80" ht="20" customHeight="1">
      <c r="A80" s="25" t="inlineStr">
        <is>
          <t>CSN305</t>
        </is>
      </c>
      <c r="B80" s="22" t="inlineStr">
        <is>
          <t>Test 3</t>
        </is>
      </c>
      <c r="C80" s="54" t="inlineStr">
        <is>
          <t>Tests</t>
        </is>
      </c>
      <c r="D80" s="23" t="n">
        <v>0.15</v>
      </c>
      <c r="E80" s="57" t="inlineStr">
        <is>
          <t>2026-11-19</t>
        </is>
      </c>
      <c r="F80" s="52" t="inlineStr">
        <is>
          <t>Not Started</t>
        </is>
      </c>
      <c r="G80" s="19">
        <f>HYPERLINK("#'CSN305'!A1", "Open Sheet ➔")</f>
        <v/>
      </c>
    </row>
    <row r="81" ht="20" customHeight="1">
      <c r="A81" s="17" t="inlineStr">
        <is>
          <t>DAT330</t>
        </is>
      </c>
      <c r="B81" s="14" t="inlineStr">
        <is>
          <t>Lab 7</t>
        </is>
      </c>
      <c r="C81" s="47" t="inlineStr">
        <is>
          <t>Labs</t>
        </is>
      </c>
      <c r="D81" s="15" t="n">
        <v>0.025</v>
      </c>
      <c r="E81" s="51" t="inlineStr">
        <is>
          <t>2026-11-19</t>
        </is>
      </c>
      <c r="F81" s="52" t="inlineStr">
        <is>
          <t>Not Started</t>
        </is>
      </c>
      <c r="G81" s="11">
        <f>HYPERLINK("#'DAT330'!A1", "Open Sheet ➔")</f>
        <v/>
      </c>
    </row>
    <row r="82" ht="20" customHeight="1">
      <c r="A82" s="25" t="inlineStr">
        <is>
          <t>SEC320</t>
        </is>
      </c>
      <c r="B82" s="22" t="inlineStr">
        <is>
          <t>Lab 8</t>
        </is>
      </c>
      <c r="C82" s="54" t="inlineStr">
        <is>
          <t>Labs</t>
        </is>
      </c>
      <c r="D82" s="23" t="n">
        <v>0.04</v>
      </c>
      <c r="E82" s="57" t="inlineStr">
        <is>
          <t>2026-11-20</t>
        </is>
      </c>
      <c r="F82" s="52" t="inlineStr">
        <is>
          <t>Not Started</t>
        </is>
      </c>
      <c r="G82" s="19">
        <f>HYPERLINK("#'SEC320'!A1", "Open Sheet ➔")</f>
        <v/>
      </c>
    </row>
    <row r="83" ht="20" customHeight="1">
      <c r="A83" s="17" t="inlineStr">
        <is>
          <t>DAT330</t>
        </is>
      </c>
      <c r="B83" s="14" t="inlineStr">
        <is>
          <t>Quiz 4</t>
        </is>
      </c>
      <c r="C83" s="47" t="inlineStr">
        <is>
          <t>Quizzes</t>
        </is>
      </c>
      <c r="D83" s="15" t="n">
        <v>0.02</v>
      </c>
      <c r="E83" s="51" t="inlineStr">
        <is>
          <t>2026-11-23</t>
        </is>
      </c>
      <c r="F83" s="52" t="inlineStr">
        <is>
          <t>Not Started</t>
        </is>
      </c>
      <c r="G83" s="11">
        <f>HYPERLINK("#'DAT330'!A1", "Open Sheet ➔")</f>
        <v/>
      </c>
    </row>
    <row r="84" ht="20" customHeight="1">
      <c r="A84" s="25" t="inlineStr">
        <is>
          <t>DAT330</t>
        </is>
      </c>
      <c r="B84" s="22" t="inlineStr">
        <is>
          <t>Assignment 3</t>
        </is>
      </c>
      <c r="C84" s="54" t="inlineStr">
        <is>
          <t>Assignments</t>
        </is>
      </c>
      <c r="D84" s="23" t="n">
        <v>0.05</v>
      </c>
      <c r="E84" s="57" t="inlineStr">
        <is>
          <t>2026-11-26</t>
        </is>
      </c>
      <c r="F84" s="52" t="inlineStr">
        <is>
          <t>Not Started</t>
        </is>
      </c>
      <c r="G84" s="19">
        <f>HYPERLINK("#'DAT330'!A1", "Open Sheet ➔")</f>
        <v/>
      </c>
    </row>
    <row r="85" ht="20" customHeight="1">
      <c r="A85" s="17" t="inlineStr">
        <is>
          <t>SEC320</t>
        </is>
      </c>
      <c r="B85" s="14" t="inlineStr">
        <is>
          <t>Lab 9</t>
        </is>
      </c>
      <c r="C85" s="47" t="inlineStr">
        <is>
          <t>Labs</t>
        </is>
      </c>
      <c r="D85" s="15" t="n">
        <v>0.04</v>
      </c>
      <c r="E85" s="51" t="inlineStr">
        <is>
          <t>2026-11-27</t>
        </is>
      </c>
      <c r="F85" s="52" t="inlineStr">
        <is>
          <t>Not Started</t>
        </is>
      </c>
      <c r="G85" s="11">
        <f>HYPERLINK("#'SEC320'!A1", "Open Sheet ➔")</f>
        <v/>
      </c>
    </row>
    <row r="86" ht="20" customHeight="1">
      <c r="A86" s="25" t="inlineStr">
        <is>
          <t>DAT330</t>
        </is>
      </c>
      <c r="B86" s="22" t="inlineStr">
        <is>
          <t>Quiz 5</t>
        </is>
      </c>
      <c r="C86" s="54" t="inlineStr">
        <is>
          <t>Quizzes</t>
        </is>
      </c>
      <c r="D86" s="23" t="n">
        <v>0.02</v>
      </c>
      <c r="E86" s="57" t="inlineStr">
        <is>
          <t>2026-11-30</t>
        </is>
      </c>
      <c r="F86" s="52" t="inlineStr">
        <is>
          <t>Not Started</t>
        </is>
      </c>
      <c r="G86" s="19">
        <f>HYPERLINK("#'DAT330'!A1", "Open Sheet ➔")</f>
        <v/>
      </c>
    </row>
    <row r="87" ht="20" customHeight="1">
      <c r="A87" s="17" t="inlineStr">
        <is>
          <t>SEC320</t>
        </is>
      </c>
      <c r="B87" s="14" t="inlineStr">
        <is>
          <t>Project Presentation</t>
        </is>
      </c>
      <c r="C87" s="47" t="inlineStr">
        <is>
          <t>Final Project</t>
        </is>
      </c>
      <c r="D87" s="15" t="n">
        <v>0.1</v>
      </c>
      <c r="E87" s="51" t="inlineStr">
        <is>
          <t>2026-11-30</t>
        </is>
      </c>
      <c r="F87" s="52" t="inlineStr">
        <is>
          <t>Not Started</t>
        </is>
      </c>
      <c r="G87" s="11">
        <f>HYPERLINK("#'SEC320'!A1", "Open Sheet ➔")</f>
        <v/>
      </c>
    </row>
    <row r="88" ht="20" customHeight="1">
      <c r="A88" s="25" t="inlineStr">
        <is>
          <t>MST300</t>
        </is>
      </c>
      <c r="B88" s="22" t="inlineStr">
        <is>
          <t>Quiz 5</t>
        </is>
      </c>
      <c r="C88" s="54" t="inlineStr">
        <is>
          <t>Quizzes</t>
        </is>
      </c>
      <c r="D88" s="23" t="n">
        <v>0.025</v>
      </c>
      <c r="E88" s="57" t="inlineStr">
        <is>
          <t>2026-12-01</t>
        </is>
      </c>
      <c r="F88" s="52" t="inlineStr">
        <is>
          <t>Not Started</t>
        </is>
      </c>
      <c r="G88" s="19">
        <f>HYPERLINK("#'MST300'!A1", "Open Sheet ➔")</f>
        <v/>
      </c>
    </row>
    <row r="89" ht="20" customHeight="1">
      <c r="A89" s="17" t="inlineStr">
        <is>
          <t>CSN305</t>
        </is>
      </c>
      <c r="B89" s="14" t="inlineStr">
        <is>
          <t>Lab 9</t>
        </is>
      </c>
      <c r="C89" s="47" t="inlineStr">
        <is>
          <t>Labs</t>
        </is>
      </c>
      <c r="D89" s="15" t="n">
        <v>0.04</v>
      </c>
      <c r="E89" s="51" t="inlineStr">
        <is>
          <t>2026-12-3</t>
        </is>
      </c>
      <c r="F89" s="52" t="inlineStr">
        <is>
          <t>Not Started</t>
        </is>
      </c>
      <c r="G89" s="11">
        <f>HYPERLINK("#'CSN305'!A1", "Open Sheet ➔")</f>
        <v/>
      </c>
    </row>
    <row r="90" ht="20" customHeight="1">
      <c r="A90" s="25" t="inlineStr">
        <is>
          <t>DAT330</t>
        </is>
      </c>
      <c r="B90" s="22" t="inlineStr">
        <is>
          <t>Lab 8</t>
        </is>
      </c>
      <c r="C90" s="54" t="inlineStr">
        <is>
          <t>Labs</t>
        </is>
      </c>
      <c r="D90" s="23" t="n">
        <v>0.025</v>
      </c>
      <c r="E90" s="57" t="inlineStr">
        <is>
          <t>2026-12-3</t>
        </is>
      </c>
      <c r="F90" s="52" t="inlineStr">
        <is>
          <t>Not Started</t>
        </is>
      </c>
      <c r="G90" s="19">
        <f>HYPERLINK("#'DAT330'!A1", "Open Sheet ➔")</f>
        <v/>
      </c>
    </row>
    <row r="91" ht="20" customHeight="1">
      <c r="A91" s="17" t="inlineStr">
        <is>
          <t>DAT330</t>
        </is>
      </c>
      <c r="B91" s="14" t="inlineStr">
        <is>
          <t>Final Project</t>
        </is>
      </c>
      <c r="C91" s="47" t="inlineStr">
        <is>
          <t>Final Project</t>
        </is>
      </c>
      <c r="D91" s="15" t="n">
        <v>0.15</v>
      </c>
      <c r="E91" s="51" t="inlineStr">
        <is>
          <t>2026-12-07</t>
        </is>
      </c>
      <c r="F91" s="52" t="inlineStr">
        <is>
          <t>Not Started</t>
        </is>
      </c>
      <c r="G91" s="11">
        <f>HYPERLINK("#'DAT330'!A1", "Open Sheet ➔")</f>
        <v/>
      </c>
    </row>
    <row r="92" ht="20" customHeight="1">
      <c r="A92" s="25" t="inlineStr">
        <is>
          <t>MST300</t>
        </is>
      </c>
      <c r="B92" s="22" t="inlineStr">
        <is>
          <t>Quiz 6</t>
        </is>
      </c>
      <c r="C92" s="54" t="inlineStr">
        <is>
          <t>Quizzes</t>
        </is>
      </c>
      <c r="D92" s="23" t="n">
        <v>0.025</v>
      </c>
      <c r="E92" s="57" t="inlineStr">
        <is>
          <t>2026-12-08</t>
        </is>
      </c>
      <c r="F92" s="52" t="inlineStr">
        <is>
          <t>Not Started</t>
        </is>
      </c>
      <c r="G92" s="19">
        <f>HYPERLINK("#'MST300'!A1", "Open Sheet ➔")</f>
        <v/>
      </c>
    </row>
    <row r="93" ht="20" customHeight="1">
      <c r="A93" s="17" t="inlineStr">
        <is>
          <t>MST300</t>
        </is>
      </c>
      <c r="B93" s="14" t="inlineStr">
        <is>
          <t>Project 2</t>
        </is>
      </c>
      <c r="C93" s="47" t="inlineStr">
        <is>
          <t>Projects</t>
        </is>
      </c>
      <c r="D93" s="15" t="n">
        <v>0.15</v>
      </c>
      <c r="E93" s="51" t="inlineStr">
        <is>
          <t>2026-12-08</t>
        </is>
      </c>
      <c r="F93" s="52" t="inlineStr">
        <is>
          <t>Not Started</t>
        </is>
      </c>
      <c r="G93" s="11">
        <f>HYPERLINK("#'MST300'!A1", "Open Sheet ➔")</f>
        <v/>
      </c>
    </row>
    <row r="94" ht="20" customHeight="1">
      <c r="A94" s="25" t="inlineStr">
        <is>
          <t>CSN305</t>
        </is>
      </c>
      <c r="B94" s="22" t="inlineStr">
        <is>
          <t>Test 4</t>
        </is>
      </c>
      <c r="C94" s="54" t="inlineStr">
        <is>
          <t>Tests</t>
        </is>
      </c>
      <c r="D94" s="23" t="n">
        <v>0.15</v>
      </c>
      <c r="E94" s="57" t="inlineStr">
        <is>
          <t>2026-12-10</t>
        </is>
      </c>
      <c r="F94" s="52" t="inlineStr">
        <is>
          <t>Not Started</t>
        </is>
      </c>
      <c r="G94" s="19">
        <f>HYPERLINK("#'CSN305'!A1", "Open Sheet ➔")</f>
        <v/>
      </c>
    </row>
    <row r="95" ht="20" customHeight="1">
      <c r="A95" s="17" t="inlineStr">
        <is>
          <t>PSY262</t>
        </is>
      </c>
      <c r="B95" s="14" t="inlineStr">
        <is>
          <t>Final Exam</t>
        </is>
      </c>
      <c r="C95" s="47" t="inlineStr">
        <is>
          <t>Final Exam</t>
        </is>
      </c>
      <c r="D95" s="15" t="n">
        <v>0.25</v>
      </c>
      <c r="E95" s="51" t="inlineStr">
        <is>
          <t>2026-12-11</t>
        </is>
      </c>
      <c r="F95" s="52" t="inlineStr">
        <is>
          <t>Not Started</t>
        </is>
      </c>
      <c r="G95" s="11">
        <f>HYPERLINK("#'PSY262'!A1", "Open Sheet ➔")</f>
        <v/>
      </c>
    </row>
    <row r="96" ht="20" customHeight="1">
      <c r="A96" s="25" t="inlineStr">
        <is>
          <t>DAT330</t>
        </is>
      </c>
      <c r="B96" s="22" t="inlineStr">
        <is>
          <t>Budget Allotment</t>
        </is>
      </c>
      <c r="C96" s="54" t="inlineStr">
        <is>
          <t>Management of Budget Allotment</t>
        </is>
      </c>
      <c r="D96" s="23" t="n">
        <v>0.1</v>
      </c>
      <c r="E96" s="57" t="inlineStr">
        <is>
          <t>TBA</t>
        </is>
      </c>
      <c r="F96" s="52" t="inlineStr">
        <is>
          <t>Not Started</t>
        </is>
      </c>
      <c r="G96" s="19">
        <f>HYPERLINK("#'DAT330'!A1", "Open Sheet ➔")</f>
        <v/>
      </c>
    </row>
    <row r="97" ht="20" customHeight="1">
      <c r="A97" s="17" t="inlineStr">
        <is>
          <t>DAT330</t>
        </is>
      </c>
      <c r="B97" s="14" t="inlineStr">
        <is>
          <t>Final Test</t>
        </is>
      </c>
      <c r="C97" s="47" t="inlineStr">
        <is>
          <t>Final Test</t>
        </is>
      </c>
      <c r="D97" s="15" t="n">
        <v>0.15</v>
      </c>
      <c r="E97" s="51" t="inlineStr">
        <is>
          <t>TBA</t>
        </is>
      </c>
      <c r="F97" s="52" t="inlineStr">
        <is>
          <t>Not Started</t>
        </is>
      </c>
      <c r="G97" s="11">
        <f>HYPERLINK("#'DAT330'!A1", "Open Sheet ➔")</f>
        <v/>
      </c>
    </row>
    <row r="98" ht="20" customHeight="1">
      <c r="A98" s="25" t="inlineStr">
        <is>
          <t>MST300</t>
        </is>
      </c>
      <c r="B98" s="22" t="inlineStr">
        <is>
          <t>Budget Allotment</t>
        </is>
      </c>
      <c r="C98" s="54" t="inlineStr">
        <is>
          <t>Management of Budget Allotment</t>
        </is>
      </c>
      <c r="D98" s="23" t="n">
        <v>0.1</v>
      </c>
      <c r="E98" s="57" t="inlineStr">
        <is>
          <t>TBA</t>
        </is>
      </c>
      <c r="F98" s="52" t="inlineStr">
        <is>
          <t>Not Started</t>
        </is>
      </c>
      <c r="G98" s="19">
        <f>HYPERLINK("#'MST300'!A1", "Open Sheet ➔")</f>
        <v/>
      </c>
    </row>
    <row r="99" ht="20" customHeight="1">
      <c r="A99" s="17" t="inlineStr">
        <is>
          <t>MST300</t>
        </is>
      </c>
      <c r="B99" s="14" t="inlineStr">
        <is>
          <t>Midterm Test</t>
        </is>
      </c>
      <c r="C99" s="47" t="inlineStr">
        <is>
          <t>Tests</t>
        </is>
      </c>
      <c r="D99" s="15" t="n">
        <v>0.1</v>
      </c>
      <c r="E99" s="51" t="inlineStr">
        <is>
          <t>TBA</t>
        </is>
      </c>
      <c r="F99" s="52" t="inlineStr">
        <is>
          <t>Not Started</t>
        </is>
      </c>
      <c r="G99" s="11">
        <f>HYPERLINK("#'MST300'!A1", "Open Sheet ➔")</f>
        <v/>
      </c>
    </row>
    <row r="100" ht="20" customHeight="1">
      <c r="A100" s="25" t="inlineStr">
        <is>
          <t>MST300</t>
        </is>
      </c>
      <c r="B100" s="22" t="inlineStr">
        <is>
          <t>Final Test</t>
        </is>
      </c>
      <c r="C100" s="54" t="inlineStr">
        <is>
          <t>Tests</t>
        </is>
      </c>
      <c r="D100" s="23" t="n">
        <v>0.15</v>
      </c>
      <c r="E100" s="57" t="inlineStr">
        <is>
          <t>TBA</t>
        </is>
      </c>
      <c r="F100" s="52" t="inlineStr">
        <is>
          <t>Not Started</t>
        </is>
      </c>
      <c r="G100" s="19">
        <f>HYPERLINK("#'MST300'!A1", "Open Sheet ➔")</f>
        <v/>
      </c>
    </row>
    <row r="101" ht="20" customHeight="1">
      <c r="A101" s="17" t="inlineStr">
        <is>
          <t>PSY262</t>
        </is>
      </c>
      <c r="B101" s="14" t="inlineStr">
        <is>
          <t>Writing Assignment</t>
        </is>
      </c>
      <c r="C101" s="47" t="inlineStr">
        <is>
          <t>Writing Assignment</t>
        </is>
      </c>
      <c r="D101" s="15" t="n">
        <v>0.1</v>
      </c>
      <c r="E101" s="51" t="inlineStr">
        <is>
          <t>TBA</t>
        </is>
      </c>
      <c r="F101" s="52" t="inlineStr">
        <is>
          <t>Not Started</t>
        </is>
      </c>
      <c r="G101" s="11">
        <f>HYPERLINK("#'PSY262'!A1", "Open Sheet ➔")</f>
        <v/>
      </c>
    </row>
    <row r="102" ht="20" customHeight="1">
      <c r="A102" s="25" t="inlineStr">
        <is>
          <t>SEC320</t>
        </is>
      </c>
      <c r="B102" s="22" t="inlineStr">
        <is>
          <t>Practical Test 1</t>
        </is>
      </c>
      <c r="C102" s="54" t="inlineStr">
        <is>
          <t>Practical Tests</t>
        </is>
      </c>
      <c r="D102" s="23" t="n">
        <v>0.15</v>
      </c>
      <c r="E102" s="57" t="inlineStr">
        <is>
          <t>TBA</t>
        </is>
      </c>
      <c r="F102" s="52" t="inlineStr">
        <is>
          <t>Not Started</t>
        </is>
      </c>
      <c r="G102" s="19">
        <f>HYPERLINK("#'SEC320'!A1", "Open Sheet ➔")</f>
        <v/>
      </c>
    </row>
    <row r="103" ht="20" customHeight="1">
      <c r="A103" s="17" t="inlineStr">
        <is>
          <t>SEC320</t>
        </is>
      </c>
      <c r="B103" s="14" t="inlineStr">
        <is>
          <t>Practical Test 2</t>
        </is>
      </c>
      <c r="C103" s="47" t="inlineStr">
        <is>
          <t>Practical Tests</t>
        </is>
      </c>
      <c r="D103" s="15" t="n">
        <v>0.15</v>
      </c>
      <c r="E103" s="51" t="inlineStr">
        <is>
          <t>TBA</t>
        </is>
      </c>
      <c r="F103" s="52" t="inlineStr">
        <is>
          <t>Not Started</t>
        </is>
      </c>
      <c r="G103" s="11">
        <f>HYPERLINK("#'SEC320'!A1", "Open Sheet ➔")</f>
        <v/>
      </c>
    </row>
    <row r="104" ht="20" customHeight="1">
      <c r="A104" s="25" t="inlineStr">
        <is>
          <t>SEC320</t>
        </is>
      </c>
      <c r="B104" s="22" t="inlineStr">
        <is>
          <t>Final Report</t>
        </is>
      </c>
      <c r="C104" s="54" t="inlineStr">
        <is>
          <t>Final Project</t>
        </is>
      </c>
      <c r="D104" s="23" t="n">
        <v>0.15</v>
      </c>
      <c r="E104" s="57" t="inlineStr">
        <is>
          <t>TBA</t>
        </is>
      </c>
      <c r="F104" s="52" t="inlineStr">
        <is>
          <t>Not Started</t>
        </is>
      </c>
      <c r="G104" s="19">
        <f>HYPERLINK("#'SEC320'!A1", "Open Sheet ➔")</f>
        <v/>
      </c>
    </row>
    <row r="105" ht="20" customHeight="1">
      <c r="A105" s="17" t="inlineStr">
        <is>
          <t>OPS345</t>
        </is>
      </c>
      <c r="B105" s="14" t="inlineStr">
        <is>
          <t>Lab 5</t>
        </is>
      </c>
      <c r="C105" s="47" t="inlineStr">
        <is>
          <t>Labs</t>
        </is>
      </c>
      <c r="D105" s="15" t="n">
        <v>0.02</v>
      </c>
      <c r="E105" s="51" t="inlineStr">
        <is>
          <t>TBA</t>
        </is>
      </c>
      <c r="F105" s="52" t="inlineStr">
        <is>
          <t>Not Started</t>
        </is>
      </c>
      <c r="G105" s="11">
        <f>HYPERLINK("#'OPS345'!A1", "Open Sheet ➔")</f>
        <v/>
      </c>
    </row>
    <row r="106" ht="20" customHeight="1">
      <c r="A106" s="25" t="inlineStr">
        <is>
          <t>OPS345</t>
        </is>
      </c>
      <c r="B106" s="22" t="inlineStr">
        <is>
          <t>Lab 6</t>
        </is>
      </c>
      <c r="C106" s="54" t="inlineStr">
        <is>
          <t>Labs</t>
        </is>
      </c>
      <c r="D106" s="23" t="n">
        <v>0.02</v>
      </c>
      <c r="E106" s="57" t="inlineStr">
        <is>
          <t>TBA</t>
        </is>
      </c>
      <c r="F106" s="52" t="inlineStr">
        <is>
          <t>Not Started</t>
        </is>
      </c>
      <c r="G106" s="19">
        <f>HYPERLINK("#'OPS345'!A1", "Open Sheet ➔")</f>
        <v/>
      </c>
    </row>
    <row r="107" ht="20" customHeight="1">
      <c r="A107" s="17" t="inlineStr">
        <is>
          <t>OPS345</t>
        </is>
      </c>
      <c r="B107" s="14" t="inlineStr">
        <is>
          <t>Lab 7</t>
        </is>
      </c>
      <c r="C107" s="47" t="inlineStr">
        <is>
          <t>Labs</t>
        </is>
      </c>
      <c r="D107" s="15" t="n">
        <v>0.02</v>
      </c>
      <c r="E107" s="51" t="inlineStr">
        <is>
          <t>TBA</t>
        </is>
      </c>
      <c r="F107" s="52" t="inlineStr">
        <is>
          <t>Not Started</t>
        </is>
      </c>
      <c r="G107" s="11">
        <f>HYPERLINK("#'OPS345'!A1", "Open Sheet ➔")</f>
        <v/>
      </c>
    </row>
    <row r="108" ht="20" customHeight="1">
      <c r="A108" s="25" t="inlineStr">
        <is>
          <t>OPS345</t>
        </is>
      </c>
      <c r="B108" s="22" t="inlineStr">
        <is>
          <t>Lab 8</t>
        </is>
      </c>
      <c r="C108" s="54" t="inlineStr">
        <is>
          <t>Labs</t>
        </is>
      </c>
      <c r="D108" s="23" t="n">
        <v>0.02</v>
      </c>
      <c r="E108" s="57" t="inlineStr">
        <is>
          <t>TBA</t>
        </is>
      </c>
      <c r="F108" s="52" t="inlineStr">
        <is>
          <t>Not Started</t>
        </is>
      </c>
      <c r="G108" s="19">
        <f>HYPERLINK("#'OPS345'!A1", "Open Sheet ➔")</f>
        <v/>
      </c>
    </row>
    <row r="109" ht="20" customHeight="1">
      <c r="A109" s="17" t="inlineStr">
        <is>
          <t>OPS345</t>
        </is>
      </c>
      <c r="B109" s="14" t="inlineStr">
        <is>
          <t>Assignment 1</t>
        </is>
      </c>
      <c r="C109" s="47" t="inlineStr">
        <is>
          <t>Assignments</t>
        </is>
      </c>
      <c r="D109" s="15" t="n">
        <v>0.15</v>
      </c>
      <c r="E109" s="51" t="inlineStr">
        <is>
          <t>TBA</t>
        </is>
      </c>
      <c r="F109" s="52" t="inlineStr">
        <is>
          <t>Not Started</t>
        </is>
      </c>
      <c r="G109" s="11">
        <f>HYPERLINK("#'OPS345'!A1", "Open Sheet ➔")</f>
        <v/>
      </c>
    </row>
    <row r="110" ht="20" customHeight="1">
      <c r="A110" s="25" t="inlineStr">
        <is>
          <t>OPS345</t>
        </is>
      </c>
      <c r="B110" s="22" t="inlineStr">
        <is>
          <t>Assignment 2</t>
        </is>
      </c>
      <c r="C110" s="54" t="inlineStr">
        <is>
          <t>Assignments</t>
        </is>
      </c>
      <c r="D110" s="23" t="n">
        <v>0.15</v>
      </c>
      <c r="E110" s="57" t="inlineStr">
        <is>
          <t>TBA</t>
        </is>
      </c>
      <c r="F110" s="52" t="inlineStr">
        <is>
          <t>Not Started</t>
        </is>
      </c>
      <c r="G110" s="19">
        <f>HYPERLINK("#'OPS345'!A1", "Open Sheet ➔")</f>
        <v/>
      </c>
    </row>
    <row r="111" ht="20" customHeight="1">
      <c r="A111" s="17" t="inlineStr">
        <is>
          <t>OPS345</t>
        </is>
      </c>
      <c r="B111" s="14" t="inlineStr">
        <is>
          <t>Quiz 1</t>
        </is>
      </c>
      <c r="C111" s="47" t="inlineStr">
        <is>
          <t>Quizzes</t>
        </is>
      </c>
      <c r="D111" s="15" t="n">
        <v>0.01</v>
      </c>
      <c r="E111" s="51" t="inlineStr">
        <is>
          <t>TBA</t>
        </is>
      </c>
      <c r="F111" s="52" t="inlineStr">
        <is>
          <t>Not Started</t>
        </is>
      </c>
      <c r="G111" s="11">
        <f>HYPERLINK("#'OPS345'!A1", "Open Sheet ➔")</f>
        <v/>
      </c>
    </row>
    <row r="112" ht="20" customHeight="1">
      <c r="A112" s="25" t="inlineStr">
        <is>
          <t>OPS345</t>
        </is>
      </c>
      <c r="B112" s="22" t="inlineStr">
        <is>
          <t>Quiz 2</t>
        </is>
      </c>
      <c r="C112" s="54" t="inlineStr">
        <is>
          <t>Quizzes</t>
        </is>
      </c>
      <c r="D112" s="23" t="n">
        <v>0.01</v>
      </c>
      <c r="E112" s="57" t="inlineStr">
        <is>
          <t>TBA</t>
        </is>
      </c>
      <c r="F112" s="52" t="inlineStr">
        <is>
          <t>Not Started</t>
        </is>
      </c>
      <c r="G112" s="19">
        <f>HYPERLINK("#'OPS345'!A1", "Open Sheet ➔")</f>
        <v/>
      </c>
    </row>
    <row r="113" ht="20" customHeight="1">
      <c r="A113" s="17" t="inlineStr">
        <is>
          <t>OPS345</t>
        </is>
      </c>
      <c r="B113" s="14" t="inlineStr">
        <is>
          <t>Quiz 3</t>
        </is>
      </c>
      <c r="C113" s="47" t="inlineStr">
        <is>
          <t>Quizzes</t>
        </is>
      </c>
      <c r="D113" s="15" t="n">
        <v>0.01</v>
      </c>
      <c r="E113" s="51" t="inlineStr">
        <is>
          <t>TBA</t>
        </is>
      </c>
      <c r="F113" s="52" t="inlineStr">
        <is>
          <t>Not Started</t>
        </is>
      </c>
      <c r="G113" s="11">
        <f>HYPERLINK("#'OPS345'!A1", "Open Sheet ➔")</f>
        <v/>
      </c>
    </row>
    <row r="114" ht="20" customHeight="1">
      <c r="A114" s="25" t="inlineStr">
        <is>
          <t>OPS345</t>
        </is>
      </c>
      <c r="B114" s="22" t="inlineStr">
        <is>
          <t>Quiz 4</t>
        </is>
      </c>
      <c r="C114" s="54" t="inlineStr">
        <is>
          <t>Quizzes</t>
        </is>
      </c>
      <c r="D114" s="23" t="n">
        <v>0.01</v>
      </c>
      <c r="E114" s="57" t="inlineStr">
        <is>
          <t>TBA</t>
        </is>
      </c>
      <c r="F114" s="52" t="inlineStr">
        <is>
          <t>Not Started</t>
        </is>
      </c>
      <c r="G114" s="19">
        <f>HYPERLINK("#'OPS345'!A1", "Open Sheet ➔")</f>
        <v/>
      </c>
    </row>
    <row r="115" ht="20" customHeight="1">
      <c r="A115" s="17" t="inlineStr">
        <is>
          <t>OPS345</t>
        </is>
      </c>
      <c r="B115" s="14" t="inlineStr">
        <is>
          <t>Final Test</t>
        </is>
      </c>
      <c r="C115" s="47" t="inlineStr">
        <is>
          <t>Final Test</t>
        </is>
      </c>
      <c r="D115" s="15" t="n">
        <v>0.25</v>
      </c>
      <c r="E115" s="51" t="inlineStr">
        <is>
          <t>TBA</t>
        </is>
      </c>
      <c r="F115" s="52" t="inlineStr">
        <is>
          <t>Not Started</t>
        </is>
      </c>
      <c r="G115" s="11">
        <f>HYPERLINK("#'OPS345'!A1", "Open Sheet ➔")</f>
        <v/>
      </c>
    </row>
  </sheetData>
  <mergeCells count="4">
    <mergeCell ref="A2:G2"/>
    <mergeCell ref="A3:G3"/>
    <mergeCell ref="A1:E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2026-09-14T04:53:59Z</dcterms:created>
  <dcterms:modified xmlns:dcterms="http://purl.org/dc/terms/" xmlns:xsi="http://www.w3.org/2001/XMLSchema-instance" xsi:type="dcterms:W3CDTF">2026-09-14T04:53:59Z</dcterms:modified>
</cp:coreProperties>
</file>